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_Analyst_Bundle_Kit_By_Kajal\Retail_Mart_Project\"/>
    </mc:Choice>
  </mc:AlternateContent>
  <xr:revisionPtr revIDLastSave="0" documentId="13_ncr:1_{C8FB7300-C76C-414B-845E-67D7AC6DBEA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ADME" sheetId="1" r:id="rId1"/>
    <sheet name="RetailMart Data Quality Report" sheetId="4" r:id="rId2"/>
    <sheet name="Data Quality Report" sheetId="2" r:id="rId3"/>
    <sheet name="Summary" sheetId="3" r:id="rId4"/>
  </sheets>
  <definedNames>
    <definedName name="_xlnm._FilterDatabase" localSheetId="2" hidden="1">'Data Quality Report'!$A$1:$H$70</definedName>
    <definedName name="_xlnm._FilterDatabase" localSheetId="1" hidden="1">'RetailMart Data Quality Report'!$A$1:$H$70</definedName>
    <definedName name="_xlnm.Print_Titles" localSheetId="2">'Data Quality Report'!$1:$1</definedName>
    <definedName name="_xlnm.Print_Titles" localSheetId="1">'RetailMart Data Quality Report'!$1:$1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3" l="1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F11" i="3" s="1"/>
  <c r="E4" i="3"/>
  <c r="E11" i="3" s="1"/>
  <c r="D4" i="3"/>
  <c r="D11" i="3" s="1"/>
  <c r="C4" i="3"/>
  <c r="C11" i="3" s="1"/>
  <c r="B4" i="3"/>
  <c r="B11" i="3" s="1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<sst xmlns="http://schemas.openxmlformats.org/spreadsheetml/2006/main" count="603" uniqueCount="175">
  <si>
    <t>RetailMart Bronze Layer — Data Quality Report</t>
  </si>
  <si>
    <t>Prepared for: Kajal — Bronze Layer Profiling → Silver Layer Cleaning Rules</t>
  </si>
  <si>
    <t>Scope: 7 source tables (customers, employees, stores, products, inventory, sales, returns), 69 individual data quality checks, each run against the raw bronze CSV extract.</t>
  </si>
  <si>
    <t>How this report is structured</t>
  </si>
  <si>
    <t>• 'Data Quality Report' tab — one row per (Table, Column, Check). Issue Count and Issue % are computed directly from the bronze CSVs; Issue % recalculates automatically if you edit Issue Count or Total Rows.</t>
  </si>
  <si>
    <t>• 'Summary' tab — issue counts rolled up by table and by severity, plus a chart.</t>
  </si>
  <si>
    <t>Severity definitions</t>
  </si>
  <si>
    <t>High — Breaks referential integrity, violates a hard business rule, or would corrupt a downstream KPI (e.g. cost &gt; price, orphan foreign key, negative quantity, duplicate primary key). Silver layer should reject or quarantine these rows, not silently pass them through.</t>
  </si>
  <si>
    <t>Medium — Row is usable but needs standardization or a judgment call before it can be trusted in reporting (e.g. inconsistent date format, missing category, salary outlier). Silver layer transforms or flags these; does not typically reject the row outright.</t>
  </si>
  <si>
    <t>Low — Cosmetic / non-blocking inconsistency (e.g. casing, whitespace, missing non-critical field). Silver layer standardizes these as part of routine cleaning; does not require a data steward decision.</t>
  </si>
  <si>
    <t>Column definitions</t>
  </si>
  <si>
    <t>• Table — the bronze-layer source file the check was run against.</t>
  </si>
  <si>
    <t>• Column — the field being profiled (or the combination of fields, for cross-field business-rule checks).</t>
  </si>
  <si>
    <t>• Check — the specific data quality rule applied (completeness, validity, uniqueness, consistency, or business rule).</t>
  </si>
  <si>
    <t>• Issue Count — number of rows in the bronze extract that failed this check.</t>
  </si>
  <si>
    <t>• Total Rows — total row count of the source table at profiling time.</t>
  </si>
  <si>
    <t>• Issue % — Issue Count ÷ Total Rows (formula-driven).</t>
  </si>
  <si>
    <t>• Severity — High / Medium / Low, per the definitions above.</t>
  </si>
  <si>
    <t>• Silver Action — the specific transformation, standardization, or rejection rule to apply when building the Silver layer.</t>
  </si>
  <si>
    <t>Table</t>
  </si>
  <si>
    <t>Column</t>
  </si>
  <si>
    <t>Check</t>
  </si>
  <si>
    <t>Issue Count</t>
  </si>
  <si>
    <t>Total Rows</t>
  </si>
  <si>
    <t>Issue %</t>
  </si>
  <si>
    <t>Severity</t>
  </si>
  <si>
    <t>Silver Action</t>
  </si>
  <si>
    <t>customers</t>
  </si>
  <si>
    <t>customer_id</t>
  </si>
  <si>
    <t>Duplicate primary key</t>
  </si>
  <si>
    <t>High</t>
  </si>
  <si>
    <t>Deduplicate on customer_id, keep most recent registration_date, log removed rows to quarantine</t>
  </si>
  <si>
    <t>email</t>
  </si>
  <si>
    <t>Missing value</t>
  </si>
  <si>
    <t>Medium</t>
  </si>
  <si>
    <t>Flag NULL; do not block load, route to Customer Data Steward for backfill</t>
  </si>
  <si>
    <t>Invalid format (missing @ / domain)</t>
  </si>
  <si>
    <t>Reject malformed emails to quarantine table; do not attempt auto-correction</t>
  </si>
  <si>
    <t>phone_number</t>
  </si>
  <si>
    <t>Low</t>
  </si>
  <si>
    <t>Flag NULL, allow load (non-critical for core sales KPIs)</t>
  </si>
  <si>
    <t>Invalid length / inconsistent format</t>
  </si>
  <si>
    <t>Strip non-numeric characters, standardize to 10-digit numeric string; quarantine if still invalid</t>
  </si>
  <si>
    <t>gender</t>
  </si>
  <si>
    <t>Inconsistent categorical values</t>
  </si>
  <si>
    <t>Standardize via mapping table (trim, upper-case compare) to Male / Female / Other</t>
  </si>
  <si>
    <t>date_of_birth</t>
  </si>
  <si>
    <t>Inconsistent date format</t>
  </si>
  <si>
    <t>Standardize all date formats to YYYY-MM-DD using multi-format parser; quarantine unparseable values</t>
  </si>
  <si>
    <t>Outlier — implausible age (&lt;10 or &gt;100)</t>
  </si>
  <si>
    <t>Flag for manual review; exclude from active-customer KPIs until corrected</t>
  </si>
  <si>
    <t>registration_date</t>
  </si>
  <si>
    <t>Standardize to YYYY-MM-DD using multi-format parser</t>
  </si>
  <si>
    <t>Future-dated value</t>
  </si>
  <si>
    <t>Reject rows with registration_date &gt; current load date; route to exception queue</t>
  </si>
  <si>
    <t>customer_status</t>
  </si>
  <si>
    <t>Inconsistent casing / whitespace</t>
  </si>
  <si>
    <t>Trim whitespace, standardize casing (Title Case) via mapping table</t>
  </si>
  <si>
    <t>customer_name</t>
  </si>
  <si>
    <t>Leading/trailing whitespace</t>
  </si>
  <si>
    <t>Trim whitespace; standardize to Title Case</t>
  </si>
  <si>
    <t>state</t>
  </si>
  <si>
    <t>Inconsistent format — abbreviation vs full name</t>
  </si>
  <si>
    <t>Standardize all state values to full state name via lookup table</t>
  </si>
  <si>
    <t>Flag NULL; infer from city where possible, else route to steward</t>
  </si>
  <si>
    <t>city</t>
  </si>
  <si>
    <t>Flag NULL, allow load</t>
  </si>
  <si>
    <t>employees</t>
  </si>
  <si>
    <t>employee_id</t>
  </si>
  <si>
    <t>Deduplicate on employee_id, keep latest joining_date, log removed rows</t>
  </si>
  <si>
    <t>salary</t>
  </si>
  <si>
    <t>Flag NULL; exclude from payroll aggregation until backfilled</t>
  </si>
  <si>
    <t>Negative value</t>
  </si>
  <si>
    <t>Reject negative salary to quarantine; requires HR correction before load</t>
  </si>
  <si>
    <t>Extreme outlier (&gt;4 std dev above mean)</t>
  </si>
  <si>
    <t>Flag for HR/Finance review; exclude from average-salary KPIs pending confirmation</t>
  </si>
  <si>
    <t>joining_date</t>
  </si>
  <si>
    <t>department</t>
  </si>
  <si>
    <t>Flag NULL; default to 'Unassigned' pending HR update</t>
  </si>
  <si>
    <t>employment_status</t>
  </si>
  <si>
    <t>Inconsistent casing / formatting</t>
  </si>
  <si>
    <t>Trim, standardize casing via mapping table</t>
  </si>
  <si>
    <t>store_id</t>
  </si>
  <si>
    <t>Orphan foreign key (store not found)</t>
  </si>
  <si>
    <t>Reject to quarantine; investigate against Stores master before load</t>
  </si>
  <si>
    <t>employee_name</t>
  </si>
  <si>
    <t>Trim whitespace, standardize to Title Case</t>
  </si>
  <si>
    <t>stores</t>
  </si>
  <si>
    <t>Deduplicate on store_id, keep most recent record, log removed rows</t>
  </si>
  <si>
    <t>manager_id</t>
  </si>
  <si>
    <t>Flag NULL; allow load, does not block store-level KPIs</t>
  </si>
  <si>
    <t>square_feet</t>
  </si>
  <si>
    <t>Negative / implausible value</t>
  </si>
  <si>
    <t>Reject non-positive values to quarantine; requires Facilities correction</t>
  </si>
  <si>
    <t>store_status</t>
  </si>
  <si>
    <t>Inconsistent casing</t>
  </si>
  <si>
    <t>opening_date</t>
  </si>
  <si>
    <t>products</t>
  </si>
  <si>
    <t>product_id</t>
  </si>
  <si>
    <t>Deduplicate on product_id, keep most recently launched record, log removed rows</t>
  </si>
  <si>
    <t>brand</t>
  </si>
  <si>
    <t>Flag NULL; default to 'Unbranded' pending Merchandising update</t>
  </si>
  <si>
    <t>category</t>
  </si>
  <si>
    <t>Flag NULL; exclude from category-level KPIs until corrected</t>
  </si>
  <si>
    <t>launch_date</t>
  </si>
  <si>
    <t>Flag NULL; expected for Inactive products, allow load</t>
  </si>
  <si>
    <t>unit_cost / selling_price</t>
  </si>
  <si>
    <t>Business rule violation — cost &gt; selling price</t>
  </si>
  <si>
    <t>Reject to quarantine; requires Pricing team correction before load</t>
  </si>
  <si>
    <t>selling_price</t>
  </si>
  <si>
    <t>Reject negative price to quarantine</t>
  </si>
  <si>
    <t>product_status</t>
  </si>
  <si>
    <t>Trim whitespace, standardize casing via mapping table</t>
  </si>
  <si>
    <t>product_name</t>
  </si>
  <si>
    <t>Trim whitespace</t>
  </si>
  <si>
    <t>inventory</t>
  </si>
  <si>
    <t>inventory_id</t>
  </si>
  <si>
    <t>Deduplicate on inventory_id, keep latest snapshot_date, log removed rows</t>
  </si>
  <si>
    <t>stock_quantity</t>
  </si>
  <si>
    <t>Reject negative stock to quarantine; investigate against warehouse system</t>
  </si>
  <si>
    <t>reserved_quantity</t>
  </si>
  <si>
    <t>Business rule violation — reserved &gt; stock on hand</t>
  </si>
  <si>
    <t>Reject to quarantine; reconcile against order-management system before load</t>
  </si>
  <si>
    <t>available_quantity</t>
  </si>
  <si>
    <t>Consistency violation — available != stock - reserved</t>
  </si>
  <si>
    <t>Recalculate available_quantity as stock - reserved during Silver transformation</t>
  </si>
  <si>
    <t>Orphan foreign key (product not found)</t>
  </si>
  <si>
    <t>Reject to quarantine; investigate against Products master before load</t>
  </si>
  <si>
    <t>inventory_status</t>
  </si>
  <si>
    <t>Inconsistent / invalid categorical value</t>
  </si>
  <si>
    <t>Standardize via mapping table; flag 'N/A'/'unknown' for review</t>
  </si>
  <si>
    <t>snapshot_date</t>
  </si>
  <si>
    <t>Reject rows with snapshot_date beyond current load date</t>
  </si>
  <si>
    <t>reorder_level</t>
  </si>
  <si>
    <t>Flag NULL; default to category-average reorder level pending correction</t>
  </si>
  <si>
    <t>sales</t>
  </si>
  <si>
    <t>order_id (full row)</t>
  </si>
  <si>
    <t>Duplicate transaction row</t>
  </si>
  <si>
    <t>Deduplicate on full row match, keep single instance, log removed rows</t>
  </si>
  <si>
    <t>unit_price</t>
  </si>
  <si>
    <t>Reject to quarantine; cannot derive sales_amount without unit_price</t>
  </si>
  <si>
    <t>Flag NULL; allow load, attribute to 'Unknown Employee' for staffing KPIs</t>
  </si>
  <si>
    <t>Orphan foreign key (employee not found)</t>
  </si>
  <si>
    <t>Flag for review; allow load but exclude from employee-performance KPIs</t>
  </si>
  <si>
    <t>quantity</t>
  </si>
  <si>
    <t>Reject negative quantity to quarantine; likely a return miscoded as a sale</t>
  </si>
  <si>
    <t>discount_amount</t>
  </si>
  <si>
    <t>Business rule violation — discount &gt; sales_amount</t>
  </si>
  <si>
    <t>Reject to quarantine; requires source-system correction</t>
  </si>
  <si>
    <t>sales_amount</t>
  </si>
  <si>
    <t>Consistency violation — does not equal quantity x unit_price - discount</t>
  </si>
  <si>
    <t>Recalculate sales_amount during Silver transformation; do not trust source-calculated value</t>
  </si>
  <si>
    <t>Orphan foreign key (customer not found)</t>
  </si>
  <si>
    <t>Reject to quarantine; investigate against Customers master before load</t>
  </si>
  <si>
    <t>order_date</t>
  </si>
  <si>
    <t>Reject rows with order_date beyond current load date</t>
  </si>
  <si>
    <t>returns</t>
  </si>
  <si>
    <t>return_id</t>
  </si>
  <si>
    <t>Deduplicate on return_id, keep single instance, log removed rows</t>
  </si>
  <si>
    <t>refund_amount</t>
  </si>
  <si>
    <t>Flag NULL; exclude from refund KPIs until Finance confirms</t>
  </si>
  <si>
    <t>Business rule violation — refund &gt; return_amount</t>
  </si>
  <si>
    <t>Reject to quarantine; requires Finance correction before load</t>
  </si>
  <si>
    <t>return_quantity</t>
  </si>
  <si>
    <t>Reject negative return_quantity to quarantine</t>
  </si>
  <si>
    <t>order_id</t>
  </si>
  <si>
    <t>Orphan foreign key (order not found in Sales)</t>
  </si>
  <si>
    <t>Reject to quarantine; investigate against Sales fact before load</t>
  </si>
  <si>
    <t>return_reason</t>
  </si>
  <si>
    <t>return_status</t>
  </si>
  <si>
    <t>Data Quality Summary — by Table</t>
  </si>
  <si>
    <t>Total Checks</t>
  </si>
  <si>
    <t>Total Issue Rows Flagged</t>
  </si>
  <si>
    <t>TOTAL</t>
  </si>
  <si>
    <t>Overall Severity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</si>
</sst>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1"/>
      <color rgb="FF595959"/>
      <name val="Arial"/>
      <charset val="1"/>
    </font>
    <font>
      <sz val="11"/>
      <name val="Arial"/>
      <charset val="1"/>
    </font>
    <font>
      <b/>
      <sz val="13"/>
      <color rgb="FF1F3864"/>
      <name val="Arial"/>
      <charset val="1"/>
    </font>
    <font>
      <sz val="11"/>
      <color rgb="FFC00000"/>
      <name val="Arial"/>
      <charset val="1"/>
    </font>
    <font>
      <sz val="11"/>
      <color rgb="FF9C6500"/>
      <name val="Arial"/>
      <charset val="1"/>
    </font>
    <font>
      <sz val="11"/>
      <color rgb="FF37562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C00000"/>
      <name val="Arial"/>
      <charset val="1"/>
    </font>
    <font>
      <b/>
      <sz val="10"/>
      <color rgb="FF9C6500"/>
      <name val="Arial"/>
      <charset val="1"/>
    </font>
    <font>
      <b/>
      <sz val="10"/>
      <color rgb="FF375623"/>
      <name val="Arial"/>
      <charset val="1"/>
    </font>
    <font>
      <b/>
      <sz val="14"/>
      <color rgb="FF1F3864"/>
      <name val="Arial"/>
      <charset val="1"/>
    </font>
    <font>
      <b/>
      <sz val="11"/>
      <name val="Arial"/>
      <charset val="1"/>
    </font>
    <font>
      <b/>
      <sz val="12"/>
      <color rgb="FF1F386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8CBAD"/>
        <bgColor rgb="FFFFE699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10" fontId="9" fillId="0" borderId="1" xfId="0" applyNumberFormat="1" applyFont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10" fontId="9" fillId="4" borderId="1" xfId="0" applyNumberFormat="1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vertical="center"/>
    </xf>
    <xf numFmtId="0" fontId="13" fillId="0" borderId="0" xfId="0" applyFont="1"/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4" fillId="0" borderId="1" xfId="0" applyFont="1" applyBorder="1"/>
    <xf numFmtId="0" fontId="15" fillId="0" borderId="0" xfId="0" applyFont="1"/>
  </cellXfs>
  <cellStyles count="1">
    <cellStyle name="Normal" xfId="0" builtinId="0"/>
  </cellStyles>
  <dxfs count="6">
    <dxf>
      <font>
        <b/>
        <color rgb="FF375623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699"/>
        </patternFill>
      </fill>
    </dxf>
    <dxf>
      <font>
        <b/>
        <color rgb="FFC00000"/>
      </font>
      <fill>
        <patternFill>
          <bgColor rgb="FFF8CBAD"/>
        </patternFill>
      </fill>
    </dxf>
    <dxf>
      <font>
        <b/>
        <color rgb="FF375623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699"/>
        </patternFill>
      </fill>
    </dxf>
    <dxf>
      <font>
        <b/>
        <color rgb="FFC00000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Issue Checks by Severity — per Table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8CBA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Summary!$A$4:$A$10</c:f>
              <c:strCache>
                <c:ptCount val="7"/>
                <c:pt idx="0">
                  <c:v>customers</c:v>
                </c:pt>
                <c:pt idx="1">
                  <c:v>employees</c:v>
                </c:pt>
                <c:pt idx="2">
                  <c:v>stores</c:v>
                </c:pt>
                <c:pt idx="3">
                  <c:v>products</c:v>
                </c:pt>
                <c:pt idx="4">
                  <c:v>inventory</c:v>
                </c:pt>
                <c:pt idx="5">
                  <c:v>sales</c:v>
                </c:pt>
                <c:pt idx="6">
                  <c:v>returns</c:v>
                </c:pt>
              </c:strCache>
            </c:strRef>
          </c:cat>
          <c:val>
            <c:numRef>
              <c:f>Summary!$C$4:$C$10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D-43A7-BFC0-6C42D3B200BB}"/>
            </c:ext>
          </c:extLst>
        </c:ser>
        <c:ser>
          <c:idx val="1"/>
          <c:order val="1"/>
          <c:tx>
            <c:strRef>
              <c:f>Summary!$D$3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FE69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Summary!$A$4:$A$10</c:f>
              <c:strCache>
                <c:ptCount val="7"/>
                <c:pt idx="0">
                  <c:v>customers</c:v>
                </c:pt>
                <c:pt idx="1">
                  <c:v>employees</c:v>
                </c:pt>
                <c:pt idx="2">
                  <c:v>stores</c:v>
                </c:pt>
                <c:pt idx="3">
                  <c:v>products</c:v>
                </c:pt>
                <c:pt idx="4">
                  <c:v>inventory</c:v>
                </c:pt>
                <c:pt idx="5">
                  <c:v>sales</c:v>
                </c:pt>
                <c:pt idx="6">
                  <c:v>returns</c:v>
                </c:pt>
              </c:strCache>
            </c:strRef>
          </c:cat>
          <c:val>
            <c:numRef>
              <c:f>Summary!$D$4:$D$10</c:f>
              <c:numCache>
                <c:formatCode>General</c:formatCode>
                <c:ptCount val="7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D-43A7-BFC0-6C42D3B200BB}"/>
            </c:ext>
          </c:extLst>
        </c:ser>
        <c:ser>
          <c:idx val="2"/>
          <c:order val="2"/>
          <c:tx>
            <c:strRef>
              <c:f>Summary!$E$3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6E0B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Summary!$A$4:$A$10</c:f>
              <c:strCache>
                <c:ptCount val="7"/>
                <c:pt idx="0">
                  <c:v>customers</c:v>
                </c:pt>
                <c:pt idx="1">
                  <c:v>employees</c:v>
                </c:pt>
                <c:pt idx="2">
                  <c:v>stores</c:v>
                </c:pt>
                <c:pt idx="3">
                  <c:v>products</c:v>
                </c:pt>
                <c:pt idx="4">
                  <c:v>inventory</c:v>
                </c:pt>
                <c:pt idx="5">
                  <c:v>sales</c:v>
                </c:pt>
                <c:pt idx="6">
                  <c:v>returns</c:v>
                </c:pt>
              </c:strCache>
            </c:strRef>
          </c:cat>
          <c:val>
            <c:numRef>
              <c:f>Summary!$E$4:$E$10</c:f>
              <c:numCache>
                <c:formatCode>General</c:formatCode>
                <c:ptCount val="7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ED-43A7-BFC0-6C42D3B20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66943"/>
        <c:axId val="10175308"/>
      </c:barChart>
      <c:catAx>
        <c:axId val="97669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Table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75308"/>
        <c:crosses val="autoZero"/>
        <c:auto val="1"/>
        <c:lblAlgn val="ctr"/>
        <c:lblOffset val="100"/>
        <c:noMultiLvlLbl val="0"/>
      </c:catAx>
      <c:valAx>
        <c:axId val="101753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Checks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669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160560</xdr:rowOff>
    </xdr:from>
    <xdr:to>
      <xdr:col>8</xdr:col>
      <xdr:colOff>336960</xdr:colOff>
      <xdr:row>29</xdr:row>
      <xdr:rowOff>160920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24"/>
  <sheetViews>
    <sheetView showGridLines="0" topLeftCell="A7" zoomScaleNormal="100" workbookViewId="0"/>
  </sheetViews>
  <sheetFormatPr defaultColWidth="8.6640625" defaultRowHeight="14.4" x14ac:dyDescent="0.3"/>
  <cols>
    <col min="1" max="1" width="110" customWidth="1"/>
  </cols>
  <sheetData>
    <row r="1" spans="1:1" ht="21.75" customHeight="1" x14ac:dyDescent="0.4">
      <c r="A1" s="1" t="s">
        <v>0</v>
      </c>
    </row>
    <row r="3" spans="1:1" ht="15" customHeight="1" x14ac:dyDescent="0.3">
      <c r="A3" s="2" t="s">
        <v>1</v>
      </c>
    </row>
    <row r="5" spans="1:1" ht="26.25" customHeight="1" x14ac:dyDescent="0.3">
      <c r="A5" s="3" t="s">
        <v>2</v>
      </c>
    </row>
    <row r="7" spans="1:1" ht="15.75" customHeight="1" x14ac:dyDescent="0.3">
      <c r="A7" s="4" t="s">
        <v>3</v>
      </c>
    </row>
    <row r="8" spans="1:1" ht="27.75" customHeight="1" x14ac:dyDescent="0.3">
      <c r="A8" s="5" t="s">
        <v>4</v>
      </c>
    </row>
    <row r="9" spans="1:1" ht="15" customHeight="1" x14ac:dyDescent="0.3">
      <c r="A9" s="5" t="s">
        <v>5</v>
      </c>
    </row>
    <row r="11" spans="1:1" ht="15.75" customHeight="1" x14ac:dyDescent="0.3">
      <c r="A11" s="4" t="s">
        <v>6</v>
      </c>
    </row>
    <row r="12" spans="1:1" ht="39" customHeight="1" x14ac:dyDescent="0.3">
      <c r="A12" s="6" t="s">
        <v>7</v>
      </c>
    </row>
    <row r="13" spans="1:1" ht="39" customHeight="1" x14ac:dyDescent="0.3">
      <c r="A13" s="7" t="s">
        <v>8</v>
      </c>
    </row>
    <row r="14" spans="1:1" ht="26.25" customHeight="1" x14ac:dyDescent="0.3">
      <c r="A14" s="8" t="s">
        <v>9</v>
      </c>
    </row>
    <row r="16" spans="1:1" ht="15.75" customHeight="1" x14ac:dyDescent="0.3">
      <c r="A16" s="4" t="s">
        <v>10</v>
      </c>
    </row>
    <row r="17" spans="1:1" ht="15" customHeight="1" x14ac:dyDescent="0.3">
      <c r="A17" s="3" t="s">
        <v>11</v>
      </c>
    </row>
    <row r="18" spans="1:1" ht="15" customHeight="1" x14ac:dyDescent="0.3">
      <c r="A18" s="3" t="s">
        <v>12</v>
      </c>
    </row>
    <row r="19" spans="1:1" ht="15" customHeight="1" x14ac:dyDescent="0.3">
      <c r="A19" s="3" t="s">
        <v>13</v>
      </c>
    </row>
    <row r="20" spans="1:1" ht="15" customHeight="1" x14ac:dyDescent="0.3">
      <c r="A20" s="3" t="s">
        <v>14</v>
      </c>
    </row>
    <row r="21" spans="1:1" ht="15" customHeight="1" x14ac:dyDescent="0.3">
      <c r="A21" s="3" t="s">
        <v>15</v>
      </c>
    </row>
    <row r="22" spans="1:1" ht="15" customHeight="1" x14ac:dyDescent="0.3">
      <c r="A22" s="3" t="s">
        <v>16</v>
      </c>
    </row>
    <row r="23" spans="1:1" ht="15" customHeight="1" x14ac:dyDescent="0.3">
      <c r="A23" s="3" t="s">
        <v>17</v>
      </c>
    </row>
    <row r="24" spans="1:1" ht="15" customHeight="1" x14ac:dyDescent="0.3">
      <c r="A24" s="3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3918-3B09-48DA-A7BD-41E4D8328A7E}">
  <sheetPr>
    <pageSetUpPr fitToPage="1"/>
  </sheetPr>
  <dimension ref="A1:H70"/>
  <sheetViews>
    <sheetView tabSelected="1" zoomScaleNormal="100" workbookViewId="0">
      <pane ySplit="1" topLeftCell="A2" activePane="bottomLeft" state="frozen"/>
      <selection pane="bottomLeft" activeCell="D2" sqref="D2"/>
    </sheetView>
  </sheetViews>
  <sheetFormatPr defaultColWidth="8.6640625" defaultRowHeight="14.4" x14ac:dyDescent="0.3"/>
  <cols>
    <col min="1" max="1" width="13" customWidth="1"/>
    <col min="2" max="2" width="24" customWidth="1"/>
    <col min="3" max="3" width="46" customWidth="1"/>
    <col min="4" max="4" width="13" customWidth="1"/>
    <col min="5" max="5" width="12" customWidth="1"/>
    <col min="6" max="7" width="11" customWidth="1"/>
    <col min="8" max="8" width="58" customWidth="1"/>
  </cols>
  <sheetData>
    <row r="1" spans="1:8" ht="31.5" customHeight="1" x14ac:dyDescent="0.3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</row>
    <row r="2" spans="1:8" ht="23.25" customHeight="1" x14ac:dyDescent="0.3">
      <c r="A2" s="10" t="s">
        <v>27</v>
      </c>
      <c r="B2" s="10" t="s">
        <v>28</v>
      </c>
      <c r="C2" s="11" t="s">
        <v>29</v>
      </c>
      <c r="D2" s="10"/>
      <c r="E2" s="10"/>
      <c r="F2" s="12"/>
      <c r="G2" s="13"/>
      <c r="H2" s="11"/>
    </row>
    <row r="3" spans="1:8" ht="23.25" customHeight="1" x14ac:dyDescent="0.3">
      <c r="A3" s="14" t="s">
        <v>27</v>
      </c>
      <c r="B3" s="14" t="s">
        <v>32</v>
      </c>
      <c r="C3" s="11" t="s">
        <v>33</v>
      </c>
      <c r="D3" s="14"/>
      <c r="E3" s="14"/>
      <c r="F3" s="15"/>
      <c r="G3" s="16"/>
      <c r="H3" s="11"/>
    </row>
    <row r="4" spans="1:8" ht="23.25" customHeight="1" x14ac:dyDescent="0.3">
      <c r="A4" s="10" t="s">
        <v>27</v>
      </c>
      <c r="B4" s="10" t="s">
        <v>32</v>
      </c>
      <c r="C4" s="11" t="s">
        <v>36</v>
      </c>
      <c r="D4" s="10"/>
      <c r="E4" s="10"/>
      <c r="F4" s="12"/>
      <c r="G4" s="16"/>
      <c r="H4" s="11"/>
    </row>
    <row r="5" spans="1:8" ht="15" customHeight="1" x14ac:dyDescent="0.3">
      <c r="A5" s="14" t="s">
        <v>27</v>
      </c>
      <c r="B5" s="14" t="s">
        <v>38</v>
      </c>
      <c r="C5" s="11" t="s">
        <v>33</v>
      </c>
      <c r="D5" s="14"/>
      <c r="E5" s="14"/>
      <c r="F5" s="15"/>
      <c r="G5" s="17"/>
      <c r="H5" s="11"/>
    </row>
    <row r="6" spans="1:8" ht="23.25" customHeight="1" x14ac:dyDescent="0.3">
      <c r="A6" s="10" t="s">
        <v>27</v>
      </c>
      <c r="B6" s="10" t="s">
        <v>38</v>
      </c>
      <c r="C6" s="11" t="s">
        <v>41</v>
      </c>
      <c r="D6" s="10"/>
      <c r="E6" s="10"/>
      <c r="F6" s="12"/>
      <c r="G6" s="16"/>
      <c r="H6" s="11"/>
    </row>
    <row r="7" spans="1:8" ht="23.25" customHeight="1" x14ac:dyDescent="0.3">
      <c r="A7" s="14" t="s">
        <v>27</v>
      </c>
      <c r="B7" s="14" t="s">
        <v>43</v>
      </c>
      <c r="C7" s="11" t="s">
        <v>44</v>
      </c>
      <c r="D7" s="14"/>
      <c r="E7" s="14"/>
      <c r="F7" s="15"/>
      <c r="G7" s="17"/>
      <c r="H7" s="11"/>
    </row>
    <row r="8" spans="1:8" ht="23.25" customHeight="1" x14ac:dyDescent="0.3">
      <c r="A8" s="10" t="s">
        <v>27</v>
      </c>
      <c r="B8" s="10" t="s">
        <v>46</v>
      </c>
      <c r="C8" s="11" t="s">
        <v>47</v>
      </c>
      <c r="D8" s="10"/>
      <c r="E8" s="10"/>
      <c r="F8" s="12"/>
      <c r="G8" s="16"/>
      <c r="H8" s="11"/>
    </row>
    <row r="9" spans="1:8" ht="23.25" customHeight="1" x14ac:dyDescent="0.3">
      <c r="A9" s="14" t="s">
        <v>27</v>
      </c>
      <c r="B9" s="14" t="s">
        <v>46</v>
      </c>
      <c r="C9" s="11" t="s">
        <v>49</v>
      </c>
      <c r="D9" s="14"/>
      <c r="E9" s="14"/>
      <c r="F9" s="15"/>
      <c r="G9" s="13"/>
      <c r="H9" s="11"/>
    </row>
    <row r="10" spans="1:8" ht="15" customHeight="1" x14ac:dyDescent="0.3">
      <c r="A10" s="10" t="s">
        <v>27</v>
      </c>
      <c r="B10" s="10" t="s">
        <v>51</v>
      </c>
      <c r="C10" s="11" t="s">
        <v>47</v>
      </c>
      <c r="D10" s="10"/>
      <c r="E10" s="10"/>
      <c r="F10" s="12"/>
      <c r="G10" s="16"/>
      <c r="H10" s="11"/>
    </row>
    <row r="11" spans="1:8" ht="23.25" customHeight="1" x14ac:dyDescent="0.3">
      <c r="A11" s="14" t="s">
        <v>27</v>
      </c>
      <c r="B11" s="14" t="s">
        <v>51</v>
      </c>
      <c r="C11" s="11" t="s">
        <v>53</v>
      </c>
      <c r="D11" s="14"/>
      <c r="E11" s="14"/>
      <c r="F11" s="15"/>
      <c r="G11" s="13"/>
      <c r="H11" s="11"/>
    </row>
    <row r="12" spans="1:8" ht="15" customHeight="1" x14ac:dyDescent="0.3">
      <c r="A12" s="10" t="s">
        <v>27</v>
      </c>
      <c r="B12" s="10" t="s">
        <v>55</v>
      </c>
      <c r="C12" s="11" t="s">
        <v>56</v>
      </c>
      <c r="D12" s="10"/>
      <c r="E12" s="10"/>
      <c r="F12" s="12"/>
      <c r="G12" s="17"/>
      <c r="H12" s="11"/>
    </row>
    <row r="13" spans="1:8" ht="15" customHeight="1" x14ac:dyDescent="0.3">
      <c r="A13" s="14" t="s">
        <v>27</v>
      </c>
      <c r="B13" s="14" t="s">
        <v>58</v>
      </c>
      <c r="C13" s="11" t="s">
        <v>59</v>
      </c>
      <c r="D13" s="14"/>
      <c r="E13" s="14"/>
      <c r="F13" s="15"/>
      <c r="G13" s="17"/>
      <c r="H13" s="11"/>
    </row>
    <row r="14" spans="1:8" ht="15" customHeight="1" x14ac:dyDescent="0.3">
      <c r="A14" s="10" t="s">
        <v>27</v>
      </c>
      <c r="B14" s="10" t="s">
        <v>61</v>
      </c>
      <c r="C14" s="11" t="s">
        <v>62</v>
      </c>
      <c r="D14" s="10"/>
      <c r="E14" s="10"/>
      <c r="F14" s="12"/>
      <c r="G14" s="17"/>
      <c r="H14" s="11"/>
    </row>
    <row r="15" spans="1:8" ht="15" customHeight="1" x14ac:dyDescent="0.3">
      <c r="A15" s="14" t="s">
        <v>27</v>
      </c>
      <c r="B15" s="14" t="s">
        <v>61</v>
      </c>
      <c r="C15" s="11" t="s">
        <v>33</v>
      </c>
      <c r="D15" s="14"/>
      <c r="E15" s="14"/>
      <c r="F15" s="15"/>
      <c r="G15" s="17"/>
      <c r="H15" s="11"/>
    </row>
    <row r="16" spans="1:8" ht="15" customHeight="1" x14ac:dyDescent="0.3">
      <c r="A16" s="10" t="s">
        <v>27</v>
      </c>
      <c r="B16" s="10" t="s">
        <v>65</v>
      </c>
      <c r="C16" s="11" t="s">
        <v>33</v>
      </c>
      <c r="D16" s="10"/>
      <c r="E16" s="10"/>
      <c r="F16" s="12"/>
      <c r="G16" s="17"/>
      <c r="H16" s="11"/>
    </row>
    <row r="17" spans="1:8" ht="23.25" customHeight="1" x14ac:dyDescent="0.3">
      <c r="A17" s="14" t="s">
        <v>67</v>
      </c>
      <c r="B17" s="14" t="s">
        <v>68</v>
      </c>
      <c r="C17" s="11" t="s">
        <v>29</v>
      </c>
      <c r="D17" s="14"/>
      <c r="E17" s="14"/>
      <c r="F17" s="15"/>
      <c r="G17" s="13"/>
      <c r="H17" s="11"/>
    </row>
    <row r="18" spans="1:8" ht="15" customHeight="1" x14ac:dyDescent="0.3">
      <c r="A18" s="10" t="s">
        <v>67</v>
      </c>
      <c r="B18" s="10" t="s">
        <v>70</v>
      </c>
      <c r="C18" s="11" t="s">
        <v>33</v>
      </c>
      <c r="D18" s="10"/>
      <c r="E18" s="10"/>
      <c r="F18" s="12"/>
      <c r="G18" s="16"/>
      <c r="H18" s="11"/>
    </row>
    <row r="19" spans="1:8" ht="23.25" customHeight="1" x14ac:dyDescent="0.3">
      <c r="A19" s="14" t="s">
        <v>67</v>
      </c>
      <c r="B19" s="14" t="s">
        <v>70</v>
      </c>
      <c r="C19" s="11" t="s">
        <v>72</v>
      </c>
      <c r="D19" s="14"/>
      <c r="E19" s="14"/>
      <c r="F19" s="15"/>
      <c r="G19" s="13"/>
      <c r="H19" s="11"/>
    </row>
    <row r="20" spans="1:8" ht="23.25" customHeight="1" x14ac:dyDescent="0.3">
      <c r="A20" s="10" t="s">
        <v>67</v>
      </c>
      <c r="B20" s="10" t="s">
        <v>70</v>
      </c>
      <c r="C20" s="11" t="s">
        <v>74</v>
      </c>
      <c r="D20" s="10"/>
      <c r="E20" s="10"/>
      <c r="F20" s="12"/>
      <c r="G20" s="16"/>
      <c r="H20" s="11"/>
    </row>
    <row r="21" spans="1:8" ht="15" customHeight="1" x14ac:dyDescent="0.3">
      <c r="A21" s="14" t="s">
        <v>67</v>
      </c>
      <c r="B21" s="14" t="s">
        <v>76</v>
      </c>
      <c r="C21" s="11" t="s">
        <v>33</v>
      </c>
      <c r="D21" s="14"/>
      <c r="E21" s="14"/>
      <c r="F21" s="15"/>
      <c r="G21" s="17"/>
      <c r="H21" s="11"/>
    </row>
    <row r="22" spans="1:8" ht="15" customHeight="1" x14ac:dyDescent="0.3">
      <c r="A22" s="10" t="s">
        <v>67</v>
      </c>
      <c r="B22" s="10" t="s">
        <v>76</v>
      </c>
      <c r="C22" s="11" t="s">
        <v>47</v>
      </c>
      <c r="D22" s="10"/>
      <c r="E22" s="10"/>
      <c r="F22" s="12"/>
      <c r="G22" s="16"/>
      <c r="H22" s="11"/>
    </row>
    <row r="23" spans="1:8" ht="15" customHeight="1" x14ac:dyDescent="0.3">
      <c r="A23" s="14" t="s">
        <v>67</v>
      </c>
      <c r="B23" s="14" t="s">
        <v>77</v>
      </c>
      <c r="C23" s="11" t="s">
        <v>33</v>
      </c>
      <c r="D23" s="14"/>
      <c r="E23" s="14"/>
      <c r="F23" s="15"/>
      <c r="G23" s="17"/>
      <c r="H23" s="11"/>
    </row>
    <row r="24" spans="1:8" ht="15" customHeight="1" x14ac:dyDescent="0.3">
      <c r="A24" s="10" t="s">
        <v>67</v>
      </c>
      <c r="B24" s="10" t="s">
        <v>79</v>
      </c>
      <c r="C24" s="11" t="s">
        <v>80</v>
      </c>
      <c r="D24" s="10"/>
      <c r="E24" s="10"/>
      <c r="F24" s="12"/>
      <c r="G24" s="17"/>
      <c r="H24" s="11"/>
    </row>
    <row r="25" spans="1:8" ht="15" customHeight="1" x14ac:dyDescent="0.3">
      <c r="A25" s="14" t="s">
        <v>67</v>
      </c>
      <c r="B25" s="14" t="s">
        <v>82</v>
      </c>
      <c r="C25" s="11" t="s">
        <v>83</v>
      </c>
      <c r="D25" s="14"/>
      <c r="E25" s="14"/>
      <c r="F25" s="15"/>
      <c r="G25" s="13"/>
      <c r="H25" s="11"/>
    </row>
    <row r="26" spans="1:8" ht="15" customHeight="1" x14ac:dyDescent="0.3">
      <c r="A26" s="10" t="s">
        <v>67</v>
      </c>
      <c r="B26" s="10" t="s">
        <v>85</v>
      </c>
      <c r="C26" s="11" t="s">
        <v>59</v>
      </c>
      <c r="D26" s="10"/>
      <c r="E26" s="10"/>
      <c r="F26" s="12"/>
      <c r="G26" s="17"/>
      <c r="H26" s="11"/>
    </row>
    <row r="27" spans="1:8" ht="15" customHeight="1" x14ac:dyDescent="0.3">
      <c r="A27" s="14" t="s">
        <v>87</v>
      </c>
      <c r="B27" s="14" t="s">
        <v>82</v>
      </c>
      <c r="C27" s="11" t="s">
        <v>29</v>
      </c>
      <c r="D27" s="14"/>
      <c r="E27" s="14"/>
      <c r="F27" s="15"/>
      <c r="G27" s="13"/>
      <c r="H27" s="11"/>
    </row>
    <row r="28" spans="1:8" ht="15" customHeight="1" x14ac:dyDescent="0.3">
      <c r="A28" s="10" t="s">
        <v>87</v>
      </c>
      <c r="B28" s="10" t="s">
        <v>89</v>
      </c>
      <c r="C28" s="11" t="s">
        <v>33</v>
      </c>
      <c r="D28" s="10"/>
      <c r="E28" s="10"/>
      <c r="F28" s="12"/>
      <c r="G28" s="17"/>
      <c r="H28" s="11"/>
    </row>
    <row r="29" spans="1:8" ht="15" customHeight="1" x14ac:dyDescent="0.3">
      <c r="A29" s="14" t="s">
        <v>87</v>
      </c>
      <c r="B29" s="14" t="s">
        <v>61</v>
      </c>
      <c r="C29" s="11" t="s">
        <v>62</v>
      </c>
      <c r="D29" s="14"/>
      <c r="E29" s="14"/>
      <c r="F29" s="15"/>
      <c r="G29" s="17"/>
      <c r="H29" s="11"/>
    </row>
    <row r="30" spans="1:8" ht="15" customHeight="1" x14ac:dyDescent="0.3">
      <c r="A30" s="10" t="s">
        <v>87</v>
      </c>
      <c r="B30" s="10" t="s">
        <v>91</v>
      </c>
      <c r="C30" s="11" t="s">
        <v>92</v>
      </c>
      <c r="D30" s="10"/>
      <c r="E30" s="10"/>
      <c r="F30" s="12"/>
      <c r="G30" s="16"/>
      <c r="H30" s="11"/>
    </row>
    <row r="31" spans="1:8" ht="15" customHeight="1" x14ac:dyDescent="0.3">
      <c r="A31" s="14" t="s">
        <v>87</v>
      </c>
      <c r="B31" s="14" t="s">
        <v>94</v>
      </c>
      <c r="C31" s="11" t="s">
        <v>95</v>
      </c>
      <c r="D31" s="14"/>
      <c r="E31" s="14"/>
      <c r="F31" s="15"/>
      <c r="G31" s="17"/>
      <c r="H31" s="11"/>
    </row>
    <row r="32" spans="1:8" ht="15" customHeight="1" x14ac:dyDescent="0.3">
      <c r="A32" s="10" t="s">
        <v>87</v>
      </c>
      <c r="B32" s="10" t="s">
        <v>96</v>
      </c>
      <c r="C32" s="11" t="s">
        <v>47</v>
      </c>
      <c r="D32" s="10"/>
      <c r="E32" s="10"/>
      <c r="F32" s="12"/>
      <c r="G32" s="16"/>
      <c r="H32" s="11"/>
    </row>
    <row r="33" spans="1:8" ht="23.25" customHeight="1" x14ac:dyDescent="0.3">
      <c r="A33" s="14" t="s">
        <v>97</v>
      </c>
      <c r="B33" s="14" t="s">
        <v>98</v>
      </c>
      <c r="C33" s="11" t="s">
        <v>29</v>
      </c>
      <c r="D33" s="14"/>
      <c r="E33" s="14"/>
      <c r="F33" s="15"/>
      <c r="G33" s="13"/>
      <c r="H33" s="11"/>
    </row>
    <row r="34" spans="1:8" ht="15" customHeight="1" x14ac:dyDescent="0.3">
      <c r="A34" s="10" t="s">
        <v>97</v>
      </c>
      <c r="B34" s="10" t="s">
        <v>100</v>
      </c>
      <c r="C34" s="11" t="s">
        <v>33</v>
      </c>
      <c r="D34" s="10"/>
      <c r="E34" s="10"/>
      <c r="F34" s="12"/>
      <c r="G34" s="17"/>
      <c r="H34" s="11"/>
    </row>
    <row r="35" spans="1:8" ht="15" customHeight="1" x14ac:dyDescent="0.3">
      <c r="A35" s="14" t="s">
        <v>97</v>
      </c>
      <c r="B35" s="14" t="s">
        <v>102</v>
      </c>
      <c r="C35" s="11" t="s">
        <v>33</v>
      </c>
      <c r="D35" s="14"/>
      <c r="E35" s="14"/>
      <c r="F35" s="15"/>
      <c r="G35" s="16"/>
      <c r="H35" s="11"/>
    </row>
    <row r="36" spans="1:8" ht="15" customHeight="1" x14ac:dyDescent="0.3">
      <c r="A36" s="10" t="s">
        <v>97</v>
      </c>
      <c r="B36" s="10" t="s">
        <v>104</v>
      </c>
      <c r="C36" s="11" t="s">
        <v>33</v>
      </c>
      <c r="D36" s="10"/>
      <c r="E36" s="10"/>
      <c r="F36" s="12"/>
      <c r="G36" s="17"/>
      <c r="H36" s="11"/>
    </row>
    <row r="37" spans="1:8" ht="15" customHeight="1" x14ac:dyDescent="0.3">
      <c r="A37" s="14" t="s">
        <v>97</v>
      </c>
      <c r="B37" s="14" t="s">
        <v>106</v>
      </c>
      <c r="C37" s="11" t="s">
        <v>107</v>
      </c>
      <c r="D37" s="14"/>
      <c r="E37" s="14"/>
      <c r="F37" s="15"/>
      <c r="G37" s="13"/>
      <c r="H37" s="11"/>
    </row>
    <row r="38" spans="1:8" ht="15" customHeight="1" x14ac:dyDescent="0.3">
      <c r="A38" s="10" t="s">
        <v>97</v>
      </c>
      <c r="B38" s="10" t="s">
        <v>109</v>
      </c>
      <c r="C38" s="11" t="s">
        <v>72</v>
      </c>
      <c r="D38" s="10"/>
      <c r="E38" s="10"/>
      <c r="F38" s="12"/>
      <c r="G38" s="13"/>
      <c r="H38" s="11"/>
    </row>
    <row r="39" spans="1:8" ht="15" customHeight="1" x14ac:dyDescent="0.3">
      <c r="A39" s="14" t="s">
        <v>97</v>
      </c>
      <c r="B39" s="14" t="s">
        <v>111</v>
      </c>
      <c r="C39" s="11" t="s">
        <v>56</v>
      </c>
      <c r="D39" s="14"/>
      <c r="E39" s="14"/>
      <c r="F39" s="15"/>
      <c r="G39" s="17"/>
      <c r="H39" s="11"/>
    </row>
    <row r="40" spans="1:8" ht="15" customHeight="1" x14ac:dyDescent="0.3">
      <c r="A40" s="10" t="s">
        <v>97</v>
      </c>
      <c r="B40" s="10" t="s">
        <v>113</v>
      </c>
      <c r="C40" s="11" t="s">
        <v>59</v>
      </c>
      <c r="D40" s="10"/>
      <c r="E40" s="10"/>
      <c r="F40" s="12"/>
      <c r="G40" s="17"/>
      <c r="H40" s="11"/>
    </row>
    <row r="41" spans="1:8" ht="23.25" customHeight="1" x14ac:dyDescent="0.3">
      <c r="A41" s="14" t="s">
        <v>115</v>
      </c>
      <c r="B41" s="14" t="s">
        <v>116</v>
      </c>
      <c r="C41" s="11" t="s">
        <v>29</v>
      </c>
      <c r="D41" s="14"/>
      <c r="E41" s="14"/>
      <c r="F41" s="15"/>
      <c r="G41" s="13"/>
      <c r="H41" s="11"/>
    </row>
    <row r="42" spans="1:8" ht="23.25" customHeight="1" x14ac:dyDescent="0.3">
      <c r="A42" s="10" t="s">
        <v>115</v>
      </c>
      <c r="B42" s="10" t="s">
        <v>118</v>
      </c>
      <c r="C42" s="11" t="s">
        <v>72</v>
      </c>
      <c r="D42" s="10"/>
      <c r="E42" s="10"/>
      <c r="F42" s="12"/>
      <c r="G42" s="13"/>
      <c r="H42" s="11"/>
    </row>
    <row r="43" spans="1:8" ht="23.25" customHeight="1" x14ac:dyDescent="0.3">
      <c r="A43" s="14" t="s">
        <v>115</v>
      </c>
      <c r="B43" s="14" t="s">
        <v>120</v>
      </c>
      <c r="C43" s="11" t="s">
        <v>121</v>
      </c>
      <c r="D43" s="14"/>
      <c r="E43" s="14"/>
      <c r="F43" s="15"/>
      <c r="G43" s="13"/>
      <c r="H43" s="11"/>
    </row>
    <row r="44" spans="1:8" ht="23.25" customHeight="1" x14ac:dyDescent="0.3">
      <c r="A44" s="10" t="s">
        <v>115</v>
      </c>
      <c r="B44" s="10" t="s">
        <v>123</v>
      </c>
      <c r="C44" s="11" t="s">
        <v>124</v>
      </c>
      <c r="D44" s="10"/>
      <c r="E44" s="10"/>
      <c r="F44" s="12"/>
      <c r="G44" s="13"/>
      <c r="H44" s="11"/>
    </row>
    <row r="45" spans="1:8" ht="15" customHeight="1" x14ac:dyDescent="0.3">
      <c r="A45" s="14" t="s">
        <v>115</v>
      </c>
      <c r="B45" s="14" t="s">
        <v>98</v>
      </c>
      <c r="C45" s="11" t="s">
        <v>126</v>
      </c>
      <c r="D45" s="14"/>
      <c r="E45" s="14"/>
      <c r="F45" s="15"/>
      <c r="G45" s="13"/>
      <c r="H45" s="11"/>
    </row>
    <row r="46" spans="1:8" ht="15" customHeight="1" x14ac:dyDescent="0.3">
      <c r="A46" s="10" t="s">
        <v>115</v>
      </c>
      <c r="B46" s="10" t="s">
        <v>82</v>
      </c>
      <c r="C46" s="11" t="s">
        <v>83</v>
      </c>
      <c r="D46" s="10"/>
      <c r="E46" s="10"/>
      <c r="F46" s="12"/>
      <c r="G46" s="13"/>
      <c r="H46" s="11"/>
    </row>
    <row r="47" spans="1:8" ht="15" customHeight="1" x14ac:dyDescent="0.3">
      <c r="A47" s="14" t="s">
        <v>115</v>
      </c>
      <c r="B47" s="14" t="s">
        <v>128</v>
      </c>
      <c r="C47" s="11" t="s">
        <v>129</v>
      </c>
      <c r="D47" s="14"/>
      <c r="E47" s="14"/>
      <c r="F47" s="15"/>
      <c r="G47" s="17"/>
      <c r="H47" s="11"/>
    </row>
    <row r="48" spans="1:8" ht="15" customHeight="1" x14ac:dyDescent="0.3">
      <c r="A48" s="10" t="s">
        <v>115</v>
      </c>
      <c r="B48" s="10" t="s">
        <v>131</v>
      </c>
      <c r="C48" s="11" t="s">
        <v>53</v>
      </c>
      <c r="D48" s="10"/>
      <c r="E48" s="10"/>
      <c r="F48" s="12"/>
      <c r="G48" s="16"/>
      <c r="H48" s="11"/>
    </row>
    <row r="49" spans="1:8" ht="23.25" customHeight="1" x14ac:dyDescent="0.3">
      <c r="A49" s="14" t="s">
        <v>115</v>
      </c>
      <c r="B49" s="14" t="s">
        <v>133</v>
      </c>
      <c r="C49" s="11" t="s">
        <v>33</v>
      </c>
      <c r="D49" s="14"/>
      <c r="E49" s="14"/>
      <c r="F49" s="15"/>
      <c r="G49" s="17"/>
      <c r="H49" s="11"/>
    </row>
    <row r="50" spans="1:8" ht="15" customHeight="1" x14ac:dyDescent="0.3">
      <c r="A50" s="10" t="s">
        <v>135</v>
      </c>
      <c r="B50" s="10" t="s">
        <v>136</v>
      </c>
      <c r="C50" s="11" t="s">
        <v>137</v>
      </c>
      <c r="D50" s="10"/>
      <c r="E50" s="10"/>
      <c r="F50" s="12"/>
      <c r="G50" s="13"/>
      <c r="H50" s="11"/>
    </row>
    <row r="51" spans="1:8" ht="15" customHeight="1" x14ac:dyDescent="0.3">
      <c r="A51" s="14" t="s">
        <v>135</v>
      </c>
      <c r="B51" s="14" t="s">
        <v>139</v>
      </c>
      <c r="C51" s="11" t="s">
        <v>33</v>
      </c>
      <c r="D51" s="14"/>
      <c r="E51" s="14"/>
      <c r="F51" s="15"/>
      <c r="G51" s="16"/>
      <c r="H51" s="11"/>
    </row>
    <row r="52" spans="1:8" ht="23.25" customHeight="1" x14ac:dyDescent="0.3">
      <c r="A52" s="10" t="s">
        <v>135</v>
      </c>
      <c r="B52" s="10" t="s">
        <v>68</v>
      </c>
      <c r="C52" s="11" t="s">
        <v>33</v>
      </c>
      <c r="D52" s="10"/>
      <c r="E52" s="10"/>
      <c r="F52" s="12"/>
      <c r="G52" s="17"/>
      <c r="H52" s="11"/>
    </row>
    <row r="53" spans="1:8" ht="23.25" customHeight="1" x14ac:dyDescent="0.3">
      <c r="A53" s="14" t="s">
        <v>135</v>
      </c>
      <c r="B53" s="14" t="s">
        <v>68</v>
      </c>
      <c r="C53" s="11" t="s">
        <v>142</v>
      </c>
      <c r="D53" s="14"/>
      <c r="E53" s="14"/>
      <c r="F53" s="15"/>
      <c r="G53" s="16"/>
      <c r="H53" s="11"/>
    </row>
    <row r="54" spans="1:8" ht="23.25" customHeight="1" x14ac:dyDescent="0.3">
      <c r="A54" s="10" t="s">
        <v>135</v>
      </c>
      <c r="B54" s="10" t="s">
        <v>144</v>
      </c>
      <c r="C54" s="11" t="s">
        <v>72</v>
      </c>
      <c r="D54" s="10"/>
      <c r="E54" s="10"/>
      <c r="F54" s="12"/>
      <c r="G54" s="13"/>
      <c r="H54" s="11"/>
    </row>
    <row r="55" spans="1:8" ht="15" customHeight="1" x14ac:dyDescent="0.3">
      <c r="A55" s="14" t="s">
        <v>135</v>
      </c>
      <c r="B55" s="14" t="s">
        <v>146</v>
      </c>
      <c r="C55" s="11" t="s">
        <v>147</v>
      </c>
      <c r="D55" s="14"/>
      <c r="E55" s="14"/>
      <c r="F55" s="15"/>
      <c r="G55" s="13"/>
      <c r="H55" s="11"/>
    </row>
    <row r="56" spans="1:8" ht="23.25" customHeight="1" x14ac:dyDescent="0.3">
      <c r="A56" s="10" t="s">
        <v>135</v>
      </c>
      <c r="B56" s="10" t="s">
        <v>149</v>
      </c>
      <c r="C56" s="11" t="s">
        <v>150</v>
      </c>
      <c r="D56" s="10"/>
      <c r="E56" s="10"/>
      <c r="F56" s="12"/>
      <c r="G56" s="13"/>
      <c r="H56" s="11"/>
    </row>
    <row r="57" spans="1:8" ht="15" customHeight="1" x14ac:dyDescent="0.3">
      <c r="A57" s="14" t="s">
        <v>135</v>
      </c>
      <c r="B57" s="14" t="s">
        <v>28</v>
      </c>
      <c r="C57" s="11" t="s">
        <v>152</v>
      </c>
      <c r="D57" s="14"/>
      <c r="E57" s="14"/>
      <c r="F57" s="15"/>
      <c r="G57" s="13"/>
      <c r="H57" s="11"/>
    </row>
    <row r="58" spans="1:8" ht="15" customHeight="1" x14ac:dyDescent="0.3">
      <c r="A58" s="10" t="s">
        <v>135</v>
      </c>
      <c r="B58" s="10" t="s">
        <v>98</v>
      </c>
      <c r="C58" s="11" t="s">
        <v>126</v>
      </c>
      <c r="D58" s="10"/>
      <c r="E58" s="10"/>
      <c r="F58" s="12"/>
      <c r="G58" s="13"/>
      <c r="H58" s="11"/>
    </row>
    <row r="59" spans="1:8" ht="15" customHeight="1" x14ac:dyDescent="0.3">
      <c r="A59" s="14" t="s">
        <v>135</v>
      </c>
      <c r="B59" s="14" t="s">
        <v>82</v>
      </c>
      <c r="C59" s="11" t="s">
        <v>83</v>
      </c>
      <c r="D59" s="14"/>
      <c r="E59" s="14"/>
      <c r="F59" s="15"/>
      <c r="G59" s="13"/>
      <c r="H59" s="11"/>
    </row>
    <row r="60" spans="1:8" ht="15" customHeight="1" x14ac:dyDescent="0.3">
      <c r="A60" s="10" t="s">
        <v>135</v>
      </c>
      <c r="B60" s="10" t="s">
        <v>154</v>
      </c>
      <c r="C60" s="11" t="s">
        <v>47</v>
      </c>
      <c r="D60" s="10"/>
      <c r="E60" s="10"/>
      <c r="F60" s="12"/>
      <c r="G60" s="16"/>
      <c r="H60" s="11"/>
    </row>
    <row r="61" spans="1:8" ht="15" customHeight="1" x14ac:dyDescent="0.3">
      <c r="A61" s="14" t="s">
        <v>135</v>
      </c>
      <c r="B61" s="14" t="s">
        <v>154</v>
      </c>
      <c r="C61" s="11" t="s">
        <v>53</v>
      </c>
      <c r="D61" s="14"/>
      <c r="E61" s="14"/>
      <c r="F61" s="15"/>
      <c r="G61" s="13"/>
      <c r="H61" s="11"/>
    </row>
    <row r="62" spans="1:8" ht="15" customHeight="1" x14ac:dyDescent="0.3">
      <c r="A62" s="10" t="s">
        <v>156</v>
      </c>
      <c r="B62" s="10" t="s">
        <v>157</v>
      </c>
      <c r="C62" s="11" t="s">
        <v>29</v>
      </c>
      <c r="D62" s="10"/>
      <c r="E62" s="10"/>
      <c r="F62" s="12"/>
      <c r="G62" s="13"/>
      <c r="H62" s="11"/>
    </row>
    <row r="63" spans="1:8" ht="15" customHeight="1" x14ac:dyDescent="0.3">
      <c r="A63" s="14" t="s">
        <v>156</v>
      </c>
      <c r="B63" s="14" t="s">
        <v>159</v>
      </c>
      <c r="C63" s="11" t="s">
        <v>33</v>
      </c>
      <c r="D63" s="14"/>
      <c r="E63" s="14"/>
      <c r="F63" s="15"/>
      <c r="G63" s="16"/>
      <c r="H63" s="11"/>
    </row>
    <row r="64" spans="1:8" ht="15" customHeight="1" x14ac:dyDescent="0.3">
      <c r="A64" s="10" t="s">
        <v>156</v>
      </c>
      <c r="B64" s="10" t="s">
        <v>159</v>
      </c>
      <c r="C64" s="11" t="s">
        <v>161</v>
      </c>
      <c r="D64" s="10"/>
      <c r="E64" s="10"/>
      <c r="F64" s="12"/>
      <c r="G64" s="13"/>
      <c r="H64" s="11"/>
    </row>
    <row r="65" spans="1:8" ht="15" customHeight="1" x14ac:dyDescent="0.3">
      <c r="A65" s="14" t="s">
        <v>156</v>
      </c>
      <c r="B65" s="14" t="s">
        <v>163</v>
      </c>
      <c r="C65" s="11" t="s">
        <v>72</v>
      </c>
      <c r="D65" s="14"/>
      <c r="E65" s="14"/>
      <c r="F65" s="15"/>
      <c r="G65" s="13"/>
      <c r="H65" s="11"/>
    </row>
    <row r="66" spans="1:8" ht="15" customHeight="1" x14ac:dyDescent="0.3">
      <c r="A66" s="10" t="s">
        <v>156</v>
      </c>
      <c r="B66" s="10" t="s">
        <v>165</v>
      </c>
      <c r="C66" s="11" t="s">
        <v>166</v>
      </c>
      <c r="D66" s="10"/>
      <c r="E66" s="10"/>
      <c r="F66" s="12"/>
      <c r="G66" s="13"/>
      <c r="H66" s="11"/>
    </row>
    <row r="67" spans="1:8" ht="15" customHeight="1" x14ac:dyDescent="0.3">
      <c r="A67" s="14" t="s">
        <v>156</v>
      </c>
      <c r="B67" s="14" t="s">
        <v>28</v>
      </c>
      <c r="C67" s="11" t="s">
        <v>152</v>
      </c>
      <c r="D67" s="14"/>
      <c r="E67" s="14"/>
      <c r="F67" s="15"/>
      <c r="G67" s="13"/>
      <c r="H67" s="11"/>
    </row>
    <row r="68" spans="1:8" ht="15" customHeight="1" x14ac:dyDescent="0.3">
      <c r="A68" s="10" t="s">
        <v>156</v>
      </c>
      <c r="B68" s="10" t="s">
        <v>98</v>
      </c>
      <c r="C68" s="11" t="s">
        <v>126</v>
      </c>
      <c r="D68" s="10"/>
      <c r="E68" s="10"/>
      <c r="F68" s="12"/>
      <c r="G68" s="13"/>
      <c r="H68" s="11"/>
    </row>
    <row r="69" spans="1:8" ht="15" customHeight="1" x14ac:dyDescent="0.3">
      <c r="A69" s="14" t="s">
        <v>156</v>
      </c>
      <c r="B69" s="14" t="s">
        <v>168</v>
      </c>
      <c r="C69" s="11" t="s">
        <v>56</v>
      </c>
      <c r="D69" s="14"/>
      <c r="E69" s="14"/>
      <c r="F69" s="15"/>
      <c r="G69" s="17"/>
      <c r="H69" s="11"/>
    </row>
    <row r="70" spans="1:8" ht="15" customHeight="1" x14ac:dyDescent="0.3">
      <c r="A70" s="10" t="s">
        <v>156</v>
      </c>
      <c r="B70" s="10" t="s">
        <v>169</v>
      </c>
      <c r="C70" s="11" t="s">
        <v>95</v>
      </c>
      <c r="D70" s="10"/>
      <c r="E70" s="10"/>
      <c r="F70" s="12"/>
      <c r="G70" s="17"/>
      <c r="H70" s="11"/>
    </row>
  </sheetData>
  <autoFilter ref="A1:H70" xr:uid="{00000000-0009-0000-0000-000001000000}"/>
  <conditionalFormatting sqref="G2:G70">
    <cfRule type="cellIs" dxfId="2" priority="1" operator="equal">
      <formula>"High"</formula>
    </cfRule>
    <cfRule type="cellIs" dxfId="1" priority="2" operator="equal">
      <formula>"Medium"</formula>
    </cfRule>
    <cfRule type="cellIs" dxfId="0" priority="3" operator="equal">
      <formula>"Low"</formula>
    </cfRule>
  </conditionalFormatting>
  <pageMargins left="0.3" right="0.3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0"/>
  <sheetViews>
    <sheetView zoomScaleNormal="100" workbookViewId="0">
      <pane ySplit="1" topLeftCell="A2" activePane="bottomLeft" state="frozen"/>
      <selection pane="bottomLeft" activeCell="G8" sqref="G8"/>
    </sheetView>
  </sheetViews>
  <sheetFormatPr defaultColWidth="8.6640625" defaultRowHeight="14.4" x14ac:dyDescent="0.3"/>
  <cols>
    <col min="1" max="1" width="13" customWidth="1"/>
    <col min="2" max="2" width="24" customWidth="1"/>
    <col min="3" max="3" width="46" customWidth="1"/>
    <col min="4" max="4" width="13" customWidth="1"/>
    <col min="5" max="5" width="12" customWidth="1"/>
    <col min="6" max="7" width="11" customWidth="1"/>
    <col min="8" max="8" width="58" customWidth="1"/>
  </cols>
  <sheetData>
    <row r="1" spans="1:8" ht="31.5" customHeight="1" x14ac:dyDescent="0.3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</row>
    <row r="2" spans="1:8" ht="23.25" customHeight="1" x14ac:dyDescent="0.3">
      <c r="A2" s="10" t="s">
        <v>27</v>
      </c>
      <c r="B2" s="10" t="s">
        <v>28</v>
      </c>
      <c r="C2" s="11" t="s">
        <v>29</v>
      </c>
      <c r="D2" s="10">
        <v>450</v>
      </c>
      <c r="E2" s="10">
        <v>30450</v>
      </c>
      <c r="F2" s="12">
        <f t="shared" ref="F2:F33" si="0">IF(E2=0,0,D2/E2)</f>
        <v>1.4778325123152709E-2</v>
      </c>
      <c r="G2" s="13" t="s">
        <v>30</v>
      </c>
      <c r="H2" s="11" t="s">
        <v>31</v>
      </c>
    </row>
    <row r="3" spans="1:8" ht="23.25" customHeight="1" x14ac:dyDescent="0.3">
      <c r="A3" s="14" t="s">
        <v>27</v>
      </c>
      <c r="B3" s="14" t="s">
        <v>32</v>
      </c>
      <c r="C3" s="11" t="s">
        <v>33</v>
      </c>
      <c r="D3" s="14">
        <v>1218</v>
      </c>
      <c r="E3" s="14">
        <v>30450</v>
      </c>
      <c r="F3" s="15">
        <f t="shared" si="0"/>
        <v>0.04</v>
      </c>
      <c r="G3" s="16" t="s">
        <v>34</v>
      </c>
      <c r="H3" s="11" t="s">
        <v>35</v>
      </c>
    </row>
    <row r="4" spans="1:8" ht="23.25" customHeight="1" x14ac:dyDescent="0.3">
      <c r="A4" s="10" t="s">
        <v>27</v>
      </c>
      <c r="B4" s="10" t="s">
        <v>32</v>
      </c>
      <c r="C4" s="11" t="s">
        <v>36</v>
      </c>
      <c r="D4" s="10">
        <v>588</v>
      </c>
      <c r="E4" s="10">
        <v>30450</v>
      </c>
      <c r="F4" s="12">
        <f t="shared" si="0"/>
        <v>1.9310344827586208E-2</v>
      </c>
      <c r="G4" s="16" t="s">
        <v>34</v>
      </c>
      <c r="H4" s="11" t="s">
        <v>37</v>
      </c>
    </row>
    <row r="5" spans="1:8" ht="15" customHeight="1" x14ac:dyDescent="0.3">
      <c r="A5" s="14" t="s">
        <v>27</v>
      </c>
      <c r="B5" s="14" t="s">
        <v>38</v>
      </c>
      <c r="C5" s="11" t="s">
        <v>33</v>
      </c>
      <c r="D5" s="14">
        <v>913</v>
      </c>
      <c r="E5" s="14">
        <v>30450</v>
      </c>
      <c r="F5" s="15">
        <f t="shared" si="0"/>
        <v>2.9983579638752051E-2</v>
      </c>
      <c r="G5" s="17" t="s">
        <v>39</v>
      </c>
      <c r="H5" s="11" t="s">
        <v>40</v>
      </c>
    </row>
    <row r="6" spans="1:8" ht="23.25" customHeight="1" x14ac:dyDescent="0.3">
      <c r="A6" s="10" t="s">
        <v>27</v>
      </c>
      <c r="B6" s="10" t="s">
        <v>38</v>
      </c>
      <c r="C6" s="11" t="s">
        <v>41</v>
      </c>
      <c r="D6" s="10">
        <v>4199</v>
      </c>
      <c r="E6" s="10">
        <v>30450</v>
      </c>
      <c r="F6" s="12">
        <f t="shared" si="0"/>
        <v>0.13789819376026272</v>
      </c>
      <c r="G6" s="16" t="s">
        <v>34</v>
      </c>
      <c r="H6" s="11" t="s">
        <v>42</v>
      </c>
    </row>
    <row r="7" spans="1:8" ht="23.25" customHeight="1" x14ac:dyDescent="0.3">
      <c r="A7" s="14" t="s">
        <v>27</v>
      </c>
      <c r="B7" s="14" t="s">
        <v>43</v>
      </c>
      <c r="C7" s="11" t="s">
        <v>44</v>
      </c>
      <c r="D7" s="14">
        <v>3432</v>
      </c>
      <c r="E7" s="14">
        <v>30450</v>
      </c>
      <c r="F7" s="15">
        <f t="shared" si="0"/>
        <v>0.11270935960591133</v>
      </c>
      <c r="G7" s="17" t="s">
        <v>39</v>
      </c>
      <c r="H7" s="11" t="s">
        <v>45</v>
      </c>
    </row>
    <row r="8" spans="1:8" ht="23.25" customHeight="1" x14ac:dyDescent="0.3">
      <c r="A8" s="10" t="s">
        <v>27</v>
      </c>
      <c r="B8" s="10" t="s">
        <v>46</v>
      </c>
      <c r="C8" s="11" t="s">
        <v>47</v>
      </c>
      <c r="D8" s="10">
        <v>6057</v>
      </c>
      <c r="E8" s="10">
        <v>30450</v>
      </c>
      <c r="F8" s="12">
        <f t="shared" si="0"/>
        <v>0.19891625615763547</v>
      </c>
      <c r="G8" s="16" t="s">
        <v>34</v>
      </c>
      <c r="H8" s="11" t="s">
        <v>48</v>
      </c>
    </row>
    <row r="9" spans="1:8" ht="23.25" customHeight="1" x14ac:dyDescent="0.3">
      <c r="A9" s="14" t="s">
        <v>27</v>
      </c>
      <c r="B9" s="14" t="s">
        <v>46</v>
      </c>
      <c r="C9" s="11" t="s">
        <v>49</v>
      </c>
      <c r="D9" s="14">
        <v>182</v>
      </c>
      <c r="E9" s="14">
        <v>30450</v>
      </c>
      <c r="F9" s="15">
        <f t="shared" si="0"/>
        <v>5.9770114942528738E-3</v>
      </c>
      <c r="G9" s="13" t="s">
        <v>30</v>
      </c>
      <c r="H9" s="11" t="s">
        <v>50</v>
      </c>
    </row>
    <row r="10" spans="1:8" ht="15" customHeight="1" x14ac:dyDescent="0.3">
      <c r="A10" s="10" t="s">
        <v>27</v>
      </c>
      <c r="B10" s="10" t="s">
        <v>51</v>
      </c>
      <c r="C10" s="11" t="s">
        <v>47</v>
      </c>
      <c r="D10" s="10">
        <v>4550</v>
      </c>
      <c r="E10" s="10">
        <v>30450</v>
      </c>
      <c r="F10" s="12">
        <f t="shared" si="0"/>
        <v>0.14942528735632185</v>
      </c>
      <c r="G10" s="16" t="s">
        <v>34</v>
      </c>
      <c r="H10" s="11" t="s">
        <v>52</v>
      </c>
    </row>
    <row r="11" spans="1:8" ht="23.25" customHeight="1" x14ac:dyDescent="0.3">
      <c r="A11" s="14" t="s">
        <v>27</v>
      </c>
      <c r="B11" s="14" t="s">
        <v>51</v>
      </c>
      <c r="C11" s="11" t="s">
        <v>53</v>
      </c>
      <c r="D11" s="14">
        <v>152</v>
      </c>
      <c r="E11" s="14">
        <v>30450</v>
      </c>
      <c r="F11" s="15">
        <f t="shared" si="0"/>
        <v>4.9917898193760262E-3</v>
      </c>
      <c r="G11" s="13" t="s">
        <v>30</v>
      </c>
      <c r="H11" s="11" t="s">
        <v>54</v>
      </c>
    </row>
    <row r="12" spans="1:8" ht="15" customHeight="1" x14ac:dyDescent="0.3">
      <c r="A12" s="10" t="s">
        <v>27</v>
      </c>
      <c r="B12" s="10" t="s">
        <v>55</v>
      </c>
      <c r="C12" s="11" t="s">
        <v>56</v>
      </c>
      <c r="D12" s="10">
        <v>2436</v>
      </c>
      <c r="E12" s="10">
        <v>30450</v>
      </c>
      <c r="F12" s="12">
        <f t="shared" si="0"/>
        <v>0.08</v>
      </c>
      <c r="G12" s="17" t="s">
        <v>39</v>
      </c>
      <c r="H12" s="11" t="s">
        <v>57</v>
      </c>
    </row>
    <row r="13" spans="1:8" ht="15" customHeight="1" x14ac:dyDescent="0.3">
      <c r="A13" s="14" t="s">
        <v>27</v>
      </c>
      <c r="B13" s="14" t="s">
        <v>58</v>
      </c>
      <c r="C13" s="11" t="s">
        <v>59</v>
      </c>
      <c r="D13" s="14">
        <v>744</v>
      </c>
      <c r="E13" s="14">
        <v>30450</v>
      </c>
      <c r="F13" s="15">
        <f t="shared" si="0"/>
        <v>2.4433497536945813E-2</v>
      </c>
      <c r="G13" s="17" t="s">
        <v>39</v>
      </c>
      <c r="H13" s="11" t="s">
        <v>60</v>
      </c>
    </row>
    <row r="14" spans="1:8" ht="15" customHeight="1" x14ac:dyDescent="0.3">
      <c r="A14" s="10" t="s">
        <v>27</v>
      </c>
      <c r="B14" s="10" t="s">
        <v>61</v>
      </c>
      <c r="C14" s="11" t="s">
        <v>62</v>
      </c>
      <c r="D14" s="10">
        <v>356</v>
      </c>
      <c r="E14" s="10">
        <v>30450</v>
      </c>
      <c r="F14" s="12">
        <f t="shared" si="0"/>
        <v>1.1691297208538587E-2</v>
      </c>
      <c r="G14" s="17" t="s">
        <v>39</v>
      </c>
      <c r="H14" s="11" t="s">
        <v>63</v>
      </c>
    </row>
    <row r="15" spans="1:8" ht="15" customHeight="1" x14ac:dyDescent="0.3">
      <c r="A15" s="14" t="s">
        <v>27</v>
      </c>
      <c r="B15" s="14" t="s">
        <v>61</v>
      </c>
      <c r="C15" s="11" t="s">
        <v>33</v>
      </c>
      <c r="D15" s="14">
        <v>609</v>
      </c>
      <c r="E15" s="14">
        <v>30450</v>
      </c>
      <c r="F15" s="15">
        <f t="shared" si="0"/>
        <v>0.02</v>
      </c>
      <c r="G15" s="17" t="s">
        <v>39</v>
      </c>
      <c r="H15" s="11" t="s">
        <v>64</v>
      </c>
    </row>
    <row r="16" spans="1:8" ht="15" customHeight="1" x14ac:dyDescent="0.3">
      <c r="A16" s="10" t="s">
        <v>27</v>
      </c>
      <c r="B16" s="10" t="s">
        <v>65</v>
      </c>
      <c r="C16" s="11" t="s">
        <v>33</v>
      </c>
      <c r="D16" s="10">
        <v>609</v>
      </c>
      <c r="E16" s="10">
        <v>30450</v>
      </c>
      <c r="F16" s="12">
        <f t="shared" si="0"/>
        <v>0.02</v>
      </c>
      <c r="G16" s="17" t="s">
        <v>39</v>
      </c>
      <c r="H16" s="11" t="s">
        <v>66</v>
      </c>
    </row>
    <row r="17" spans="1:8" ht="23.25" customHeight="1" x14ac:dyDescent="0.3">
      <c r="A17" s="14" t="s">
        <v>67</v>
      </c>
      <c r="B17" s="14" t="s">
        <v>68</v>
      </c>
      <c r="C17" s="11" t="s">
        <v>29</v>
      </c>
      <c r="D17" s="14">
        <v>300</v>
      </c>
      <c r="E17" s="14">
        <v>30300</v>
      </c>
      <c r="F17" s="15">
        <f t="shared" si="0"/>
        <v>9.9009900990099011E-3</v>
      </c>
      <c r="G17" s="13" t="s">
        <v>30</v>
      </c>
      <c r="H17" s="11" t="s">
        <v>69</v>
      </c>
    </row>
    <row r="18" spans="1:8" ht="15" customHeight="1" x14ac:dyDescent="0.3">
      <c r="A18" s="10" t="s">
        <v>67</v>
      </c>
      <c r="B18" s="10" t="s">
        <v>70</v>
      </c>
      <c r="C18" s="11" t="s">
        <v>33</v>
      </c>
      <c r="D18" s="10">
        <v>909</v>
      </c>
      <c r="E18" s="10">
        <v>30300</v>
      </c>
      <c r="F18" s="12">
        <f t="shared" si="0"/>
        <v>0.03</v>
      </c>
      <c r="G18" s="16" t="s">
        <v>34</v>
      </c>
      <c r="H18" s="11" t="s">
        <v>71</v>
      </c>
    </row>
    <row r="19" spans="1:8" ht="23.25" customHeight="1" x14ac:dyDescent="0.3">
      <c r="A19" s="14" t="s">
        <v>67</v>
      </c>
      <c r="B19" s="14" t="s">
        <v>70</v>
      </c>
      <c r="C19" s="11" t="s">
        <v>72</v>
      </c>
      <c r="D19" s="14">
        <v>121</v>
      </c>
      <c r="E19" s="14">
        <v>30300</v>
      </c>
      <c r="F19" s="15">
        <f t="shared" si="0"/>
        <v>3.9933993399339932E-3</v>
      </c>
      <c r="G19" s="13" t="s">
        <v>30</v>
      </c>
      <c r="H19" s="11" t="s">
        <v>73</v>
      </c>
    </row>
    <row r="20" spans="1:8" ht="23.25" customHeight="1" x14ac:dyDescent="0.3">
      <c r="A20" s="10" t="s">
        <v>67</v>
      </c>
      <c r="B20" s="10" t="s">
        <v>70</v>
      </c>
      <c r="C20" s="11" t="s">
        <v>74</v>
      </c>
      <c r="D20" s="10">
        <v>90</v>
      </c>
      <c r="E20" s="10">
        <v>30300</v>
      </c>
      <c r="F20" s="12">
        <f t="shared" si="0"/>
        <v>2.9702970297029703E-3</v>
      </c>
      <c r="G20" s="16" t="s">
        <v>34</v>
      </c>
      <c r="H20" s="11" t="s">
        <v>75</v>
      </c>
    </row>
    <row r="21" spans="1:8" ht="15" customHeight="1" x14ac:dyDescent="0.3">
      <c r="A21" s="14" t="s">
        <v>67</v>
      </c>
      <c r="B21" s="14" t="s">
        <v>76</v>
      </c>
      <c r="C21" s="11" t="s">
        <v>33</v>
      </c>
      <c r="D21" s="14">
        <v>454</v>
      </c>
      <c r="E21" s="14">
        <v>30300</v>
      </c>
      <c r="F21" s="15">
        <f t="shared" si="0"/>
        <v>1.4983498349834984E-2</v>
      </c>
      <c r="G21" s="17" t="s">
        <v>39</v>
      </c>
      <c r="H21" s="11" t="s">
        <v>66</v>
      </c>
    </row>
    <row r="22" spans="1:8" ht="15" customHeight="1" x14ac:dyDescent="0.3">
      <c r="A22" s="10" t="s">
        <v>67</v>
      </c>
      <c r="B22" s="10" t="s">
        <v>76</v>
      </c>
      <c r="C22" s="11" t="s">
        <v>47</v>
      </c>
      <c r="D22" s="10">
        <v>4545</v>
      </c>
      <c r="E22" s="10">
        <v>30300</v>
      </c>
      <c r="F22" s="12">
        <f t="shared" si="0"/>
        <v>0.15</v>
      </c>
      <c r="G22" s="16" t="s">
        <v>34</v>
      </c>
      <c r="H22" s="11" t="s">
        <v>52</v>
      </c>
    </row>
    <row r="23" spans="1:8" ht="15" customHeight="1" x14ac:dyDescent="0.3">
      <c r="A23" s="14" t="s">
        <v>67</v>
      </c>
      <c r="B23" s="14" t="s">
        <v>77</v>
      </c>
      <c r="C23" s="11" t="s">
        <v>33</v>
      </c>
      <c r="D23" s="14">
        <v>303</v>
      </c>
      <c r="E23" s="14">
        <v>30300</v>
      </c>
      <c r="F23" s="15">
        <f t="shared" si="0"/>
        <v>0.01</v>
      </c>
      <c r="G23" s="17" t="s">
        <v>39</v>
      </c>
      <c r="H23" s="11" t="s">
        <v>78</v>
      </c>
    </row>
    <row r="24" spans="1:8" ht="15" customHeight="1" x14ac:dyDescent="0.3">
      <c r="A24" s="10" t="s">
        <v>67</v>
      </c>
      <c r="B24" s="10" t="s">
        <v>79</v>
      </c>
      <c r="C24" s="11" t="s">
        <v>80</v>
      </c>
      <c r="D24" s="10">
        <v>3030</v>
      </c>
      <c r="E24" s="10">
        <v>30300</v>
      </c>
      <c r="F24" s="12">
        <f t="shared" si="0"/>
        <v>0.1</v>
      </c>
      <c r="G24" s="17" t="s">
        <v>39</v>
      </c>
      <c r="H24" s="11" t="s">
        <v>81</v>
      </c>
    </row>
    <row r="25" spans="1:8" ht="15" customHeight="1" x14ac:dyDescent="0.3">
      <c r="A25" s="14" t="s">
        <v>67</v>
      </c>
      <c r="B25" s="14" t="s">
        <v>82</v>
      </c>
      <c r="C25" s="11" t="s">
        <v>83</v>
      </c>
      <c r="D25" s="14">
        <v>303</v>
      </c>
      <c r="E25" s="14">
        <v>30300</v>
      </c>
      <c r="F25" s="15">
        <f t="shared" si="0"/>
        <v>0.01</v>
      </c>
      <c r="G25" s="13" t="s">
        <v>30</v>
      </c>
      <c r="H25" s="11" t="s">
        <v>84</v>
      </c>
    </row>
    <row r="26" spans="1:8" ht="15" customHeight="1" x14ac:dyDescent="0.3">
      <c r="A26" s="10" t="s">
        <v>67</v>
      </c>
      <c r="B26" s="10" t="s">
        <v>85</v>
      </c>
      <c r="C26" s="11" t="s">
        <v>59</v>
      </c>
      <c r="D26" s="10">
        <v>1212</v>
      </c>
      <c r="E26" s="10">
        <v>30300</v>
      </c>
      <c r="F26" s="12">
        <f t="shared" si="0"/>
        <v>0.04</v>
      </c>
      <c r="G26" s="17" t="s">
        <v>39</v>
      </c>
      <c r="H26" s="11" t="s">
        <v>86</v>
      </c>
    </row>
    <row r="27" spans="1:8" ht="15" customHeight="1" x14ac:dyDescent="0.3">
      <c r="A27" s="14" t="s">
        <v>87</v>
      </c>
      <c r="B27" s="14" t="s">
        <v>82</v>
      </c>
      <c r="C27" s="11" t="s">
        <v>29</v>
      </c>
      <c r="D27" s="14">
        <v>300</v>
      </c>
      <c r="E27" s="14">
        <v>30300</v>
      </c>
      <c r="F27" s="15">
        <f t="shared" si="0"/>
        <v>9.9009900990099011E-3</v>
      </c>
      <c r="G27" s="13" t="s">
        <v>30</v>
      </c>
      <c r="H27" s="11" t="s">
        <v>88</v>
      </c>
    </row>
    <row r="28" spans="1:8" ht="15" customHeight="1" x14ac:dyDescent="0.3">
      <c r="A28" s="10" t="s">
        <v>87</v>
      </c>
      <c r="B28" s="10" t="s">
        <v>89</v>
      </c>
      <c r="C28" s="11" t="s">
        <v>33</v>
      </c>
      <c r="D28" s="10">
        <v>606</v>
      </c>
      <c r="E28" s="10">
        <v>30300</v>
      </c>
      <c r="F28" s="12">
        <f t="shared" si="0"/>
        <v>0.02</v>
      </c>
      <c r="G28" s="17" t="s">
        <v>39</v>
      </c>
      <c r="H28" s="11" t="s">
        <v>90</v>
      </c>
    </row>
    <row r="29" spans="1:8" ht="15" customHeight="1" x14ac:dyDescent="0.3">
      <c r="A29" s="14" t="s">
        <v>87</v>
      </c>
      <c r="B29" s="14" t="s">
        <v>61</v>
      </c>
      <c r="C29" s="11" t="s">
        <v>62</v>
      </c>
      <c r="D29" s="14">
        <v>469</v>
      </c>
      <c r="E29" s="14">
        <v>30300</v>
      </c>
      <c r="F29" s="15">
        <f t="shared" si="0"/>
        <v>1.5478547854785479E-2</v>
      </c>
      <c r="G29" s="17" t="s">
        <v>39</v>
      </c>
      <c r="H29" s="11" t="s">
        <v>63</v>
      </c>
    </row>
    <row r="30" spans="1:8" ht="15" customHeight="1" x14ac:dyDescent="0.3">
      <c r="A30" s="10" t="s">
        <v>87</v>
      </c>
      <c r="B30" s="10" t="s">
        <v>91</v>
      </c>
      <c r="C30" s="11" t="s">
        <v>92</v>
      </c>
      <c r="D30" s="10">
        <v>151</v>
      </c>
      <c r="E30" s="10">
        <v>30300</v>
      </c>
      <c r="F30" s="12">
        <f t="shared" si="0"/>
        <v>4.9834983498349833E-3</v>
      </c>
      <c r="G30" s="16" t="s">
        <v>34</v>
      </c>
      <c r="H30" s="11" t="s">
        <v>93</v>
      </c>
    </row>
    <row r="31" spans="1:8" ht="15" customHeight="1" x14ac:dyDescent="0.3">
      <c r="A31" s="14" t="s">
        <v>87</v>
      </c>
      <c r="B31" s="14" t="s">
        <v>94</v>
      </c>
      <c r="C31" s="11" t="s">
        <v>95</v>
      </c>
      <c r="D31" s="14">
        <v>2424</v>
      </c>
      <c r="E31" s="14">
        <v>30300</v>
      </c>
      <c r="F31" s="15">
        <f t="shared" si="0"/>
        <v>0.08</v>
      </c>
      <c r="G31" s="17" t="s">
        <v>39</v>
      </c>
      <c r="H31" s="11" t="s">
        <v>81</v>
      </c>
    </row>
    <row r="32" spans="1:8" ht="15" customHeight="1" x14ac:dyDescent="0.3">
      <c r="A32" s="10" t="s">
        <v>87</v>
      </c>
      <c r="B32" s="10" t="s">
        <v>96</v>
      </c>
      <c r="C32" s="11" t="s">
        <v>47</v>
      </c>
      <c r="D32" s="10">
        <v>4545</v>
      </c>
      <c r="E32" s="10">
        <v>30300</v>
      </c>
      <c r="F32" s="12">
        <f t="shared" si="0"/>
        <v>0.15</v>
      </c>
      <c r="G32" s="16" t="s">
        <v>34</v>
      </c>
      <c r="H32" s="11" t="s">
        <v>52</v>
      </c>
    </row>
    <row r="33" spans="1:8" ht="23.25" customHeight="1" x14ac:dyDescent="0.3">
      <c r="A33" s="14" t="s">
        <v>97</v>
      </c>
      <c r="B33" s="14" t="s">
        <v>98</v>
      </c>
      <c r="C33" s="11" t="s">
        <v>29</v>
      </c>
      <c r="D33" s="14">
        <v>300</v>
      </c>
      <c r="E33" s="14">
        <v>30300</v>
      </c>
      <c r="F33" s="15">
        <f t="shared" si="0"/>
        <v>9.9009900990099011E-3</v>
      </c>
      <c r="G33" s="13" t="s">
        <v>30</v>
      </c>
      <c r="H33" s="11" t="s">
        <v>99</v>
      </c>
    </row>
    <row r="34" spans="1:8" ht="15" customHeight="1" x14ac:dyDescent="0.3">
      <c r="A34" s="10" t="s">
        <v>97</v>
      </c>
      <c r="B34" s="10" t="s">
        <v>100</v>
      </c>
      <c r="C34" s="11" t="s">
        <v>33</v>
      </c>
      <c r="D34" s="10">
        <v>909</v>
      </c>
      <c r="E34" s="10">
        <v>30300</v>
      </c>
      <c r="F34" s="12">
        <f t="shared" ref="F34:F65" si="1">IF(E34=0,0,D34/E34)</f>
        <v>0.03</v>
      </c>
      <c r="G34" s="17" t="s">
        <v>39</v>
      </c>
      <c r="H34" s="11" t="s">
        <v>101</v>
      </c>
    </row>
    <row r="35" spans="1:8" ht="15" customHeight="1" x14ac:dyDescent="0.3">
      <c r="A35" s="14" t="s">
        <v>97</v>
      </c>
      <c r="B35" s="14" t="s">
        <v>102</v>
      </c>
      <c r="C35" s="11" t="s">
        <v>33</v>
      </c>
      <c r="D35" s="14">
        <v>454</v>
      </c>
      <c r="E35" s="14">
        <v>30300</v>
      </c>
      <c r="F35" s="15">
        <f t="shared" si="1"/>
        <v>1.4983498349834984E-2</v>
      </c>
      <c r="G35" s="16" t="s">
        <v>34</v>
      </c>
      <c r="H35" s="11" t="s">
        <v>103</v>
      </c>
    </row>
    <row r="36" spans="1:8" ht="15" customHeight="1" x14ac:dyDescent="0.3">
      <c r="A36" s="10" t="s">
        <v>97</v>
      </c>
      <c r="B36" s="10" t="s">
        <v>104</v>
      </c>
      <c r="C36" s="11" t="s">
        <v>33</v>
      </c>
      <c r="D36" s="10">
        <v>4327</v>
      </c>
      <c r="E36" s="10">
        <v>30300</v>
      </c>
      <c r="F36" s="12">
        <f t="shared" si="1"/>
        <v>0.1428052805280528</v>
      </c>
      <c r="G36" s="17" t="s">
        <v>39</v>
      </c>
      <c r="H36" s="11" t="s">
        <v>105</v>
      </c>
    </row>
    <row r="37" spans="1:8" ht="15" customHeight="1" x14ac:dyDescent="0.3">
      <c r="A37" s="14" t="s">
        <v>97</v>
      </c>
      <c r="B37" s="14" t="s">
        <v>106</v>
      </c>
      <c r="C37" s="11" t="s">
        <v>107</v>
      </c>
      <c r="D37" s="14">
        <v>691</v>
      </c>
      <c r="E37" s="14">
        <v>30300</v>
      </c>
      <c r="F37" s="15">
        <f t="shared" si="1"/>
        <v>2.2805280528052804E-2</v>
      </c>
      <c r="G37" s="13" t="s">
        <v>30</v>
      </c>
      <c r="H37" s="11" t="s">
        <v>108</v>
      </c>
    </row>
    <row r="38" spans="1:8" ht="15" customHeight="1" x14ac:dyDescent="0.3">
      <c r="A38" s="10" t="s">
        <v>97</v>
      </c>
      <c r="B38" s="10" t="s">
        <v>109</v>
      </c>
      <c r="C38" s="11" t="s">
        <v>72</v>
      </c>
      <c r="D38" s="10">
        <v>90</v>
      </c>
      <c r="E38" s="10">
        <v>30300</v>
      </c>
      <c r="F38" s="12">
        <f t="shared" si="1"/>
        <v>2.9702970297029703E-3</v>
      </c>
      <c r="G38" s="13" t="s">
        <v>30</v>
      </c>
      <c r="H38" s="11" t="s">
        <v>110</v>
      </c>
    </row>
    <row r="39" spans="1:8" ht="15" customHeight="1" x14ac:dyDescent="0.3">
      <c r="A39" s="14" t="s">
        <v>97</v>
      </c>
      <c r="B39" s="14" t="s">
        <v>111</v>
      </c>
      <c r="C39" s="11" t="s">
        <v>56</v>
      </c>
      <c r="D39" s="14">
        <v>2424</v>
      </c>
      <c r="E39" s="14">
        <v>30300</v>
      </c>
      <c r="F39" s="15">
        <f t="shared" si="1"/>
        <v>0.08</v>
      </c>
      <c r="G39" s="17" t="s">
        <v>39</v>
      </c>
      <c r="H39" s="11" t="s">
        <v>112</v>
      </c>
    </row>
    <row r="40" spans="1:8" ht="15" customHeight="1" x14ac:dyDescent="0.3">
      <c r="A40" s="10" t="s">
        <v>97</v>
      </c>
      <c r="B40" s="10" t="s">
        <v>113</v>
      </c>
      <c r="C40" s="11" t="s">
        <v>59</v>
      </c>
      <c r="D40" s="10">
        <v>1212</v>
      </c>
      <c r="E40" s="10">
        <v>30300</v>
      </c>
      <c r="F40" s="12">
        <f t="shared" si="1"/>
        <v>0.04</v>
      </c>
      <c r="G40" s="17" t="s">
        <v>39</v>
      </c>
      <c r="H40" s="11" t="s">
        <v>114</v>
      </c>
    </row>
    <row r="41" spans="1:8" ht="23.25" customHeight="1" x14ac:dyDescent="0.3">
      <c r="A41" s="14" t="s">
        <v>115</v>
      </c>
      <c r="B41" s="14" t="s">
        <v>116</v>
      </c>
      <c r="C41" s="11" t="s">
        <v>29</v>
      </c>
      <c r="D41" s="14">
        <v>300</v>
      </c>
      <c r="E41" s="14">
        <v>30300</v>
      </c>
      <c r="F41" s="15">
        <f t="shared" si="1"/>
        <v>9.9009900990099011E-3</v>
      </c>
      <c r="G41" s="13" t="s">
        <v>30</v>
      </c>
      <c r="H41" s="11" t="s">
        <v>117</v>
      </c>
    </row>
    <row r="42" spans="1:8" ht="23.25" customHeight="1" x14ac:dyDescent="0.3">
      <c r="A42" s="10" t="s">
        <v>115</v>
      </c>
      <c r="B42" s="10" t="s">
        <v>118</v>
      </c>
      <c r="C42" s="11" t="s">
        <v>72</v>
      </c>
      <c r="D42" s="10">
        <v>121</v>
      </c>
      <c r="E42" s="10">
        <v>30300</v>
      </c>
      <c r="F42" s="12">
        <f t="shared" si="1"/>
        <v>3.9933993399339932E-3</v>
      </c>
      <c r="G42" s="13" t="s">
        <v>30</v>
      </c>
      <c r="H42" s="11" t="s">
        <v>119</v>
      </c>
    </row>
    <row r="43" spans="1:8" ht="23.25" customHeight="1" x14ac:dyDescent="0.3">
      <c r="A43" s="14" t="s">
        <v>115</v>
      </c>
      <c r="B43" s="14" t="s">
        <v>120</v>
      </c>
      <c r="C43" s="11" t="s">
        <v>121</v>
      </c>
      <c r="D43" s="14">
        <v>726</v>
      </c>
      <c r="E43" s="14">
        <v>30300</v>
      </c>
      <c r="F43" s="15">
        <f t="shared" si="1"/>
        <v>2.3960396039603961E-2</v>
      </c>
      <c r="G43" s="13" t="s">
        <v>30</v>
      </c>
      <c r="H43" s="11" t="s">
        <v>122</v>
      </c>
    </row>
    <row r="44" spans="1:8" ht="23.25" customHeight="1" x14ac:dyDescent="0.3">
      <c r="A44" s="10" t="s">
        <v>115</v>
      </c>
      <c r="B44" s="10" t="s">
        <v>123</v>
      </c>
      <c r="C44" s="11" t="s">
        <v>124</v>
      </c>
      <c r="D44" s="10">
        <v>1616</v>
      </c>
      <c r="E44" s="10">
        <v>30300</v>
      </c>
      <c r="F44" s="12">
        <f t="shared" si="1"/>
        <v>5.3333333333333337E-2</v>
      </c>
      <c r="G44" s="13" t="s">
        <v>30</v>
      </c>
      <c r="H44" s="11" t="s">
        <v>125</v>
      </c>
    </row>
    <row r="45" spans="1:8" ht="15" customHeight="1" x14ac:dyDescent="0.3">
      <c r="A45" s="14" t="s">
        <v>115</v>
      </c>
      <c r="B45" s="14" t="s">
        <v>98</v>
      </c>
      <c r="C45" s="11" t="s">
        <v>126</v>
      </c>
      <c r="D45" s="14">
        <v>303</v>
      </c>
      <c r="E45" s="14">
        <v>30300</v>
      </c>
      <c r="F45" s="15">
        <f t="shared" si="1"/>
        <v>0.01</v>
      </c>
      <c r="G45" s="13" t="s">
        <v>30</v>
      </c>
      <c r="H45" s="11" t="s">
        <v>127</v>
      </c>
    </row>
    <row r="46" spans="1:8" ht="15" customHeight="1" x14ac:dyDescent="0.3">
      <c r="A46" s="10" t="s">
        <v>115</v>
      </c>
      <c r="B46" s="10" t="s">
        <v>82</v>
      </c>
      <c r="C46" s="11" t="s">
        <v>83</v>
      </c>
      <c r="D46" s="10">
        <v>24224</v>
      </c>
      <c r="E46" s="10">
        <v>30300</v>
      </c>
      <c r="F46" s="12">
        <f t="shared" si="1"/>
        <v>0.79947194719471948</v>
      </c>
      <c r="G46" s="13" t="s">
        <v>30</v>
      </c>
      <c r="H46" s="11" t="s">
        <v>84</v>
      </c>
    </row>
    <row r="47" spans="1:8" ht="15" customHeight="1" x14ac:dyDescent="0.3">
      <c r="A47" s="14" t="s">
        <v>115</v>
      </c>
      <c r="B47" s="14" t="s">
        <v>128</v>
      </c>
      <c r="C47" s="11" t="s">
        <v>129</v>
      </c>
      <c r="D47" s="14">
        <v>1515</v>
      </c>
      <c r="E47" s="14">
        <v>30300</v>
      </c>
      <c r="F47" s="15">
        <f t="shared" si="1"/>
        <v>0.05</v>
      </c>
      <c r="G47" s="17" t="s">
        <v>39</v>
      </c>
      <c r="H47" s="11" t="s">
        <v>130</v>
      </c>
    </row>
    <row r="48" spans="1:8" ht="15" customHeight="1" x14ac:dyDescent="0.3">
      <c r="A48" s="10" t="s">
        <v>115</v>
      </c>
      <c r="B48" s="10" t="s">
        <v>131</v>
      </c>
      <c r="C48" s="11" t="s">
        <v>53</v>
      </c>
      <c r="D48" s="10">
        <v>121</v>
      </c>
      <c r="E48" s="10">
        <v>30300</v>
      </c>
      <c r="F48" s="12">
        <f t="shared" si="1"/>
        <v>3.9933993399339932E-3</v>
      </c>
      <c r="G48" s="16" t="s">
        <v>34</v>
      </c>
      <c r="H48" s="11" t="s">
        <v>132</v>
      </c>
    </row>
    <row r="49" spans="1:8" ht="23.25" customHeight="1" x14ac:dyDescent="0.3">
      <c r="A49" s="14" t="s">
        <v>115</v>
      </c>
      <c r="B49" s="14" t="s">
        <v>133</v>
      </c>
      <c r="C49" s="11" t="s">
        <v>33</v>
      </c>
      <c r="D49" s="14">
        <v>606</v>
      </c>
      <c r="E49" s="14">
        <v>30300</v>
      </c>
      <c r="F49" s="15">
        <f t="shared" si="1"/>
        <v>0.02</v>
      </c>
      <c r="G49" s="17" t="s">
        <v>39</v>
      </c>
      <c r="H49" s="11" t="s">
        <v>134</v>
      </c>
    </row>
    <row r="50" spans="1:8" ht="15" customHeight="1" x14ac:dyDescent="0.3">
      <c r="A50" s="10" t="s">
        <v>135</v>
      </c>
      <c r="B50" s="10" t="s">
        <v>136</v>
      </c>
      <c r="C50" s="11" t="s">
        <v>137</v>
      </c>
      <c r="D50" s="10">
        <v>217</v>
      </c>
      <c r="E50" s="10">
        <v>30360</v>
      </c>
      <c r="F50" s="12">
        <f t="shared" si="1"/>
        <v>7.1475625823451908E-3</v>
      </c>
      <c r="G50" s="13" t="s">
        <v>30</v>
      </c>
      <c r="H50" s="11" t="s">
        <v>138</v>
      </c>
    </row>
    <row r="51" spans="1:8" ht="15" customHeight="1" x14ac:dyDescent="0.3">
      <c r="A51" s="14" t="s">
        <v>135</v>
      </c>
      <c r="B51" s="14" t="s">
        <v>139</v>
      </c>
      <c r="C51" s="11" t="s">
        <v>33</v>
      </c>
      <c r="D51" s="14">
        <v>455</v>
      </c>
      <c r="E51" s="14">
        <v>30360</v>
      </c>
      <c r="F51" s="15">
        <f t="shared" si="1"/>
        <v>1.4986824769433466E-2</v>
      </c>
      <c r="G51" s="16" t="s">
        <v>34</v>
      </c>
      <c r="H51" s="11" t="s">
        <v>140</v>
      </c>
    </row>
    <row r="52" spans="1:8" ht="23.25" customHeight="1" x14ac:dyDescent="0.3">
      <c r="A52" s="10" t="s">
        <v>135</v>
      </c>
      <c r="B52" s="10" t="s">
        <v>68</v>
      </c>
      <c r="C52" s="11" t="s">
        <v>33</v>
      </c>
      <c r="D52" s="10">
        <v>1234</v>
      </c>
      <c r="E52" s="10">
        <v>30360</v>
      </c>
      <c r="F52" s="12">
        <f t="shared" si="1"/>
        <v>4.064558629776021E-2</v>
      </c>
      <c r="G52" s="17" t="s">
        <v>39</v>
      </c>
      <c r="H52" s="11" t="s">
        <v>141</v>
      </c>
    </row>
    <row r="53" spans="1:8" ht="23.25" customHeight="1" x14ac:dyDescent="0.3">
      <c r="A53" s="14" t="s">
        <v>135</v>
      </c>
      <c r="B53" s="14" t="s">
        <v>68</v>
      </c>
      <c r="C53" s="11" t="s">
        <v>142</v>
      </c>
      <c r="D53" s="14">
        <v>29126</v>
      </c>
      <c r="E53" s="14">
        <v>30360</v>
      </c>
      <c r="F53" s="15">
        <f t="shared" si="1"/>
        <v>0.95935441370223984</v>
      </c>
      <c r="G53" s="16" t="s">
        <v>34</v>
      </c>
      <c r="H53" s="11" t="s">
        <v>143</v>
      </c>
    </row>
    <row r="54" spans="1:8" ht="23.25" customHeight="1" x14ac:dyDescent="0.3">
      <c r="A54" s="10" t="s">
        <v>135</v>
      </c>
      <c r="B54" s="10" t="s">
        <v>144</v>
      </c>
      <c r="C54" s="11" t="s">
        <v>72</v>
      </c>
      <c r="D54" s="10">
        <v>91</v>
      </c>
      <c r="E54" s="10">
        <v>30360</v>
      </c>
      <c r="F54" s="12">
        <f t="shared" si="1"/>
        <v>2.9973649538866929E-3</v>
      </c>
      <c r="G54" s="13" t="s">
        <v>30</v>
      </c>
      <c r="H54" s="11" t="s">
        <v>145</v>
      </c>
    </row>
    <row r="55" spans="1:8" ht="15" customHeight="1" x14ac:dyDescent="0.3">
      <c r="A55" s="14" t="s">
        <v>135</v>
      </c>
      <c r="B55" s="14" t="s">
        <v>146</v>
      </c>
      <c r="C55" s="11" t="s">
        <v>147</v>
      </c>
      <c r="D55" s="14">
        <v>238</v>
      </c>
      <c r="E55" s="14">
        <v>30360</v>
      </c>
      <c r="F55" s="15">
        <f t="shared" si="1"/>
        <v>7.8392621870882733E-3</v>
      </c>
      <c r="G55" s="13" t="s">
        <v>30</v>
      </c>
      <c r="H55" s="11" t="s">
        <v>148</v>
      </c>
    </row>
    <row r="56" spans="1:8" ht="23.25" customHeight="1" x14ac:dyDescent="0.3">
      <c r="A56" s="10" t="s">
        <v>135</v>
      </c>
      <c r="B56" s="10" t="s">
        <v>149</v>
      </c>
      <c r="C56" s="11" t="s">
        <v>150</v>
      </c>
      <c r="D56" s="10">
        <v>917</v>
      </c>
      <c r="E56" s="10">
        <v>30360</v>
      </c>
      <c r="F56" s="12">
        <f t="shared" si="1"/>
        <v>3.0204216073781293E-2</v>
      </c>
      <c r="G56" s="13" t="s">
        <v>30</v>
      </c>
      <c r="H56" s="11" t="s">
        <v>151</v>
      </c>
    </row>
    <row r="57" spans="1:8" ht="15" customHeight="1" x14ac:dyDescent="0.3">
      <c r="A57" s="14" t="s">
        <v>135</v>
      </c>
      <c r="B57" s="14" t="s">
        <v>28</v>
      </c>
      <c r="C57" s="11" t="s">
        <v>152</v>
      </c>
      <c r="D57" s="14">
        <v>242</v>
      </c>
      <c r="E57" s="14">
        <v>30360</v>
      </c>
      <c r="F57" s="15">
        <f t="shared" si="1"/>
        <v>7.9710144927536229E-3</v>
      </c>
      <c r="G57" s="13" t="s">
        <v>30</v>
      </c>
      <c r="H57" s="11" t="s">
        <v>153</v>
      </c>
    </row>
    <row r="58" spans="1:8" ht="15" customHeight="1" x14ac:dyDescent="0.3">
      <c r="A58" s="10" t="s">
        <v>135</v>
      </c>
      <c r="B58" s="10" t="s">
        <v>98</v>
      </c>
      <c r="C58" s="11" t="s">
        <v>126</v>
      </c>
      <c r="D58" s="10">
        <v>242</v>
      </c>
      <c r="E58" s="10">
        <v>30360</v>
      </c>
      <c r="F58" s="12">
        <f t="shared" si="1"/>
        <v>7.9710144927536229E-3</v>
      </c>
      <c r="G58" s="13" t="s">
        <v>30</v>
      </c>
      <c r="H58" s="11" t="s">
        <v>127</v>
      </c>
    </row>
    <row r="59" spans="1:8" ht="15" customHeight="1" x14ac:dyDescent="0.3">
      <c r="A59" s="14" t="s">
        <v>135</v>
      </c>
      <c r="B59" s="14" t="s">
        <v>82</v>
      </c>
      <c r="C59" s="11" t="s">
        <v>83</v>
      </c>
      <c r="D59" s="14">
        <v>242</v>
      </c>
      <c r="E59" s="14">
        <v>30360</v>
      </c>
      <c r="F59" s="15">
        <f t="shared" si="1"/>
        <v>7.9710144927536229E-3</v>
      </c>
      <c r="G59" s="13" t="s">
        <v>30</v>
      </c>
      <c r="H59" s="11" t="s">
        <v>84</v>
      </c>
    </row>
    <row r="60" spans="1:8" ht="15" customHeight="1" x14ac:dyDescent="0.3">
      <c r="A60" s="10" t="s">
        <v>135</v>
      </c>
      <c r="B60" s="10" t="s">
        <v>154</v>
      </c>
      <c r="C60" s="11" t="s">
        <v>47</v>
      </c>
      <c r="D60" s="10">
        <v>4554</v>
      </c>
      <c r="E60" s="10">
        <v>30360</v>
      </c>
      <c r="F60" s="12">
        <f t="shared" si="1"/>
        <v>0.15</v>
      </c>
      <c r="G60" s="16" t="s">
        <v>34</v>
      </c>
      <c r="H60" s="11" t="s">
        <v>52</v>
      </c>
    </row>
    <row r="61" spans="1:8" ht="15" customHeight="1" x14ac:dyDescent="0.3">
      <c r="A61" s="14" t="s">
        <v>135</v>
      </c>
      <c r="B61" s="14" t="s">
        <v>154</v>
      </c>
      <c r="C61" s="11" t="s">
        <v>53</v>
      </c>
      <c r="D61" s="14">
        <v>80</v>
      </c>
      <c r="E61" s="14">
        <v>30360</v>
      </c>
      <c r="F61" s="15">
        <f t="shared" si="1"/>
        <v>2.635046113306983E-3</v>
      </c>
      <c r="G61" s="13" t="s">
        <v>30</v>
      </c>
      <c r="H61" s="11" t="s">
        <v>155</v>
      </c>
    </row>
    <row r="62" spans="1:8" ht="15" customHeight="1" x14ac:dyDescent="0.3">
      <c r="A62" s="10" t="s">
        <v>156</v>
      </c>
      <c r="B62" s="10" t="s">
        <v>157</v>
      </c>
      <c r="C62" s="11" t="s">
        <v>29</v>
      </c>
      <c r="D62" s="10">
        <v>300</v>
      </c>
      <c r="E62" s="10">
        <v>30300</v>
      </c>
      <c r="F62" s="12">
        <f t="shared" si="1"/>
        <v>9.9009900990099011E-3</v>
      </c>
      <c r="G62" s="13" t="s">
        <v>30</v>
      </c>
      <c r="H62" s="11" t="s">
        <v>158</v>
      </c>
    </row>
    <row r="63" spans="1:8" ht="15" customHeight="1" x14ac:dyDescent="0.3">
      <c r="A63" s="14" t="s">
        <v>156</v>
      </c>
      <c r="B63" s="14" t="s">
        <v>159</v>
      </c>
      <c r="C63" s="11" t="s">
        <v>33</v>
      </c>
      <c r="D63" s="14">
        <v>5893</v>
      </c>
      <c r="E63" s="14">
        <v>30300</v>
      </c>
      <c r="F63" s="15">
        <f t="shared" si="1"/>
        <v>0.19448844884488448</v>
      </c>
      <c r="G63" s="16" t="s">
        <v>34</v>
      </c>
      <c r="H63" s="11" t="s">
        <v>160</v>
      </c>
    </row>
    <row r="64" spans="1:8" ht="15" customHeight="1" x14ac:dyDescent="0.3">
      <c r="A64" s="10" t="s">
        <v>156</v>
      </c>
      <c r="B64" s="10" t="s">
        <v>159</v>
      </c>
      <c r="C64" s="11" t="s">
        <v>161</v>
      </c>
      <c r="D64" s="10">
        <v>454</v>
      </c>
      <c r="E64" s="10">
        <v>30300</v>
      </c>
      <c r="F64" s="12">
        <f t="shared" si="1"/>
        <v>1.4983498349834984E-2</v>
      </c>
      <c r="G64" s="13" t="s">
        <v>30</v>
      </c>
      <c r="H64" s="11" t="s">
        <v>162</v>
      </c>
    </row>
    <row r="65" spans="1:8" ht="15" customHeight="1" x14ac:dyDescent="0.3">
      <c r="A65" s="14" t="s">
        <v>156</v>
      </c>
      <c r="B65" s="14" t="s">
        <v>163</v>
      </c>
      <c r="C65" s="11" t="s">
        <v>72</v>
      </c>
      <c r="D65" s="14">
        <v>121</v>
      </c>
      <c r="E65" s="14">
        <v>30300</v>
      </c>
      <c r="F65" s="15">
        <f t="shared" si="1"/>
        <v>3.9933993399339932E-3</v>
      </c>
      <c r="G65" s="13" t="s">
        <v>30</v>
      </c>
      <c r="H65" s="11" t="s">
        <v>164</v>
      </c>
    </row>
    <row r="66" spans="1:8" ht="15" customHeight="1" x14ac:dyDescent="0.3">
      <c r="A66" s="10" t="s">
        <v>156</v>
      </c>
      <c r="B66" s="10" t="s">
        <v>165</v>
      </c>
      <c r="C66" s="11" t="s">
        <v>166</v>
      </c>
      <c r="D66" s="10">
        <v>303</v>
      </c>
      <c r="E66" s="10">
        <v>30300</v>
      </c>
      <c r="F66" s="12">
        <f t="shared" ref="F66:F97" si="2">IF(E66=0,0,D66/E66)</f>
        <v>0.01</v>
      </c>
      <c r="G66" s="13" t="s">
        <v>30</v>
      </c>
      <c r="H66" s="11" t="s">
        <v>167</v>
      </c>
    </row>
    <row r="67" spans="1:8" ht="15" customHeight="1" x14ac:dyDescent="0.3">
      <c r="A67" s="14" t="s">
        <v>156</v>
      </c>
      <c r="B67" s="14" t="s">
        <v>28</v>
      </c>
      <c r="C67" s="11" t="s">
        <v>152</v>
      </c>
      <c r="D67" s="14">
        <v>242</v>
      </c>
      <c r="E67" s="14">
        <v>30300</v>
      </c>
      <c r="F67" s="15">
        <f t="shared" si="2"/>
        <v>7.9867986798679864E-3</v>
      </c>
      <c r="G67" s="13" t="s">
        <v>30</v>
      </c>
      <c r="H67" s="11" t="s">
        <v>153</v>
      </c>
    </row>
    <row r="68" spans="1:8" ht="15" customHeight="1" x14ac:dyDescent="0.3">
      <c r="A68" s="10" t="s">
        <v>156</v>
      </c>
      <c r="B68" s="10" t="s">
        <v>98</v>
      </c>
      <c r="C68" s="11" t="s">
        <v>126</v>
      </c>
      <c r="D68" s="10">
        <v>242</v>
      </c>
      <c r="E68" s="10">
        <v>30300</v>
      </c>
      <c r="F68" s="12">
        <f t="shared" si="2"/>
        <v>7.9867986798679864E-3</v>
      </c>
      <c r="G68" s="13" t="s">
        <v>30</v>
      </c>
      <c r="H68" s="11" t="s">
        <v>127</v>
      </c>
    </row>
    <row r="69" spans="1:8" ht="15" customHeight="1" x14ac:dyDescent="0.3">
      <c r="A69" s="14" t="s">
        <v>156</v>
      </c>
      <c r="B69" s="14" t="s">
        <v>168</v>
      </c>
      <c r="C69" s="11" t="s">
        <v>56</v>
      </c>
      <c r="D69" s="14">
        <v>814</v>
      </c>
      <c r="E69" s="14">
        <v>30300</v>
      </c>
      <c r="F69" s="15">
        <f t="shared" si="2"/>
        <v>2.6864686468646863E-2</v>
      </c>
      <c r="G69" s="17" t="s">
        <v>39</v>
      </c>
      <c r="H69" s="11" t="s">
        <v>112</v>
      </c>
    </row>
    <row r="70" spans="1:8" ht="15" customHeight="1" x14ac:dyDescent="0.3">
      <c r="A70" s="10" t="s">
        <v>156</v>
      </c>
      <c r="B70" s="10" t="s">
        <v>169</v>
      </c>
      <c r="C70" s="11" t="s">
        <v>95</v>
      </c>
      <c r="D70" s="10">
        <v>1818</v>
      </c>
      <c r="E70" s="10">
        <v>30300</v>
      </c>
      <c r="F70" s="12">
        <f t="shared" si="2"/>
        <v>0.06</v>
      </c>
      <c r="G70" s="17" t="s">
        <v>39</v>
      </c>
      <c r="H70" s="11" t="s">
        <v>81</v>
      </c>
    </row>
  </sheetData>
  <autoFilter ref="A1:H70" xr:uid="{00000000-0009-0000-0000-000001000000}"/>
  <conditionalFormatting sqref="G2:G70">
    <cfRule type="cellIs" dxfId="5" priority="2" operator="equal">
      <formula>"High"</formula>
    </cfRule>
    <cfRule type="cellIs" dxfId="4" priority="3" operator="equal">
      <formula>"Medium"</formula>
    </cfRule>
    <cfRule type="cellIs" dxfId="3" priority="4" operator="equal">
      <formula>"Low"</formula>
    </cfRule>
  </conditionalFormatting>
  <pageMargins left="0.3" right="0.3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3"/>
  <sheetViews>
    <sheetView showGridLines="0" zoomScaleNormal="100" workbookViewId="0">
      <selection activeCell="B4" sqref="B4"/>
    </sheetView>
  </sheetViews>
  <sheetFormatPr defaultColWidth="8.6640625" defaultRowHeight="14.4" x14ac:dyDescent="0.3"/>
  <cols>
    <col min="1" max="2" width="14" customWidth="1"/>
    <col min="3" max="5" width="10" customWidth="1"/>
    <col min="6" max="6" width="26" customWidth="1"/>
  </cols>
  <sheetData>
    <row r="1" spans="1:6" ht="17.25" customHeight="1" x14ac:dyDescent="0.3">
      <c r="A1" s="18" t="s">
        <v>170</v>
      </c>
    </row>
    <row r="3" spans="1:6" ht="15" customHeight="1" x14ac:dyDescent="0.3">
      <c r="A3" s="19" t="s">
        <v>19</v>
      </c>
      <c r="B3" s="19" t="s">
        <v>171</v>
      </c>
      <c r="C3" s="19" t="s">
        <v>30</v>
      </c>
      <c r="D3" s="19" t="s">
        <v>34</v>
      </c>
      <c r="E3" s="19" t="s">
        <v>39</v>
      </c>
      <c r="F3" s="19" t="s">
        <v>172</v>
      </c>
    </row>
    <row r="4" spans="1:6" ht="15" customHeight="1" x14ac:dyDescent="0.3">
      <c r="A4" s="20" t="s">
        <v>27</v>
      </c>
      <c r="B4" s="21">
        <f>COUNTIF('Data Quality Report'!A:A,A4)</f>
        <v>15</v>
      </c>
      <c r="C4" s="21">
        <f>COUNTIFS('Data Quality Report'!A:A,A4,'Data Quality Report'!G:G,"High")</f>
        <v>3</v>
      </c>
      <c r="D4" s="21">
        <f>COUNTIFS('Data Quality Report'!A:A,A4,'Data Quality Report'!G:G,"Medium")</f>
        <v>5</v>
      </c>
      <c r="E4" s="21">
        <f>COUNTIFS('Data Quality Report'!A:A,A4,'Data Quality Report'!G:G,"Low")</f>
        <v>7</v>
      </c>
      <c r="F4" s="21">
        <f>SUMIF('Data Quality Report'!A:A,A4,'Data Quality Report'!D:D)</f>
        <v>26495</v>
      </c>
    </row>
    <row r="5" spans="1:6" ht="15" customHeight="1" x14ac:dyDescent="0.3">
      <c r="A5" s="20" t="s">
        <v>67</v>
      </c>
      <c r="B5" s="21">
        <f>COUNTIF('Data Quality Report'!A:A,A5)</f>
        <v>10</v>
      </c>
      <c r="C5" s="21">
        <f>COUNTIFS('Data Quality Report'!A:A,A5,'Data Quality Report'!G:G,"High")</f>
        <v>3</v>
      </c>
      <c r="D5" s="21">
        <f>COUNTIFS('Data Quality Report'!A:A,A5,'Data Quality Report'!G:G,"Medium")</f>
        <v>3</v>
      </c>
      <c r="E5" s="21">
        <f>COUNTIFS('Data Quality Report'!A:A,A5,'Data Quality Report'!G:G,"Low")</f>
        <v>4</v>
      </c>
      <c r="F5" s="21">
        <f>SUMIF('Data Quality Report'!A:A,A5,'Data Quality Report'!D:D)</f>
        <v>11267</v>
      </c>
    </row>
    <row r="6" spans="1:6" ht="15" customHeight="1" x14ac:dyDescent="0.3">
      <c r="A6" s="20" t="s">
        <v>87</v>
      </c>
      <c r="B6" s="21">
        <f>COUNTIF('Data Quality Report'!A:A,A6)</f>
        <v>6</v>
      </c>
      <c r="C6" s="21">
        <f>COUNTIFS('Data Quality Report'!A:A,A6,'Data Quality Report'!G:G,"High")</f>
        <v>1</v>
      </c>
      <c r="D6" s="21">
        <f>COUNTIFS('Data Quality Report'!A:A,A6,'Data Quality Report'!G:G,"Medium")</f>
        <v>2</v>
      </c>
      <c r="E6" s="21">
        <f>COUNTIFS('Data Quality Report'!A:A,A6,'Data Quality Report'!G:G,"Low")</f>
        <v>3</v>
      </c>
      <c r="F6" s="21">
        <f>SUMIF('Data Quality Report'!A:A,A6,'Data Quality Report'!D:D)</f>
        <v>8495</v>
      </c>
    </row>
    <row r="7" spans="1:6" ht="15" customHeight="1" x14ac:dyDescent="0.3">
      <c r="A7" s="20" t="s">
        <v>97</v>
      </c>
      <c r="B7" s="21">
        <f>COUNTIF('Data Quality Report'!A:A,A7)</f>
        <v>8</v>
      </c>
      <c r="C7" s="21">
        <f>COUNTIFS('Data Quality Report'!A:A,A7,'Data Quality Report'!G:G,"High")</f>
        <v>3</v>
      </c>
      <c r="D7" s="21">
        <f>COUNTIFS('Data Quality Report'!A:A,A7,'Data Quality Report'!G:G,"Medium")</f>
        <v>1</v>
      </c>
      <c r="E7" s="21">
        <f>COUNTIFS('Data Quality Report'!A:A,A7,'Data Quality Report'!G:G,"Low")</f>
        <v>4</v>
      </c>
      <c r="F7" s="21">
        <f>SUMIF('Data Quality Report'!A:A,A7,'Data Quality Report'!D:D)</f>
        <v>10407</v>
      </c>
    </row>
    <row r="8" spans="1:6" ht="15" customHeight="1" x14ac:dyDescent="0.3">
      <c r="A8" s="20" t="s">
        <v>115</v>
      </c>
      <c r="B8" s="21">
        <f>COUNTIF('Data Quality Report'!A:A,A8)</f>
        <v>9</v>
      </c>
      <c r="C8" s="21">
        <f>COUNTIFS('Data Quality Report'!A:A,A8,'Data Quality Report'!G:G,"High")</f>
        <v>6</v>
      </c>
      <c r="D8" s="21">
        <f>COUNTIFS('Data Quality Report'!A:A,A8,'Data Quality Report'!G:G,"Medium")</f>
        <v>1</v>
      </c>
      <c r="E8" s="21">
        <f>COUNTIFS('Data Quality Report'!A:A,A8,'Data Quality Report'!G:G,"Low")</f>
        <v>2</v>
      </c>
      <c r="F8" s="21">
        <f>SUMIF('Data Quality Report'!A:A,A8,'Data Quality Report'!D:D)</f>
        <v>29532</v>
      </c>
    </row>
    <row r="9" spans="1:6" ht="15" customHeight="1" x14ac:dyDescent="0.3">
      <c r="A9" s="20" t="s">
        <v>135</v>
      </c>
      <c r="B9" s="21">
        <f>COUNTIF('Data Quality Report'!A:A,A9)</f>
        <v>12</v>
      </c>
      <c r="C9" s="21">
        <f>COUNTIFS('Data Quality Report'!A:A,A9,'Data Quality Report'!G:G,"High")</f>
        <v>8</v>
      </c>
      <c r="D9" s="21">
        <f>COUNTIFS('Data Quality Report'!A:A,A9,'Data Quality Report'!G:G,"Medium")</f>
        <v>3</v>
      </c>
      <c r="E9" s="21">
        <f>COUNTIFS('Data Quality Report'!A:A,A9,'Data Quality Report'!G:G,"Low")</f>
        <v>1</v>
      </c>
      <c r="F9" s="21">
        <f>SUMIF('Data Quality Report'!A:A,A9,'Data Quality Report'!D:D)</f>
        <v>37638</v>
      </c>
    </row>
    <row r="10" spans="1:6" ht="15" customHeight="1" x14ac:dyDescent="0.3">
      <c r="A10" s="20" t="s">
        <v>156</v>
      </c>
      <c r="B10" s="21">
        <f>COUNTIF('Data Quality Report'!A:A,A10)</f>
        <v>9</v>
      </c>
      <c r="C10" s="21">
        <f>COUNTIFS('Data Quality Report'!A:A,A10,'Data Quality Report'!G:G,"High")</f>
        <v>6</v>
      </c>
      <c r="D10" s="21">
        <f>COUNTIFS('Data Quality Report'!A:A,A10,'Data Quality Report'!G:G,"Medium")</f>
        <v>1</v>
      </c>
      <c r="E10" s="21">
        <f>COUNTIFS('Data Quality Report'!A:A,A10,'Data Quality Report'!G:G,"Low")</f>
        <v>2</v>
      </c>
      <c r="F10" s="21">
        <f>SUMIF('Data Quality Report'!A:A,A10,'Data Quality Report'!D:D)</f>
        <v>10187</v>
      </c>
    </row>
    <row r="11" spans="1:6" ht="15" customHeight="1" x14ac:dyDescent="0.3">
      <c r="A11" s="22" t="s">
        <v>173</v>
      </c>
      <c r="B11" s="22">
        <f>SUM(B4:B10)</f>
        <v>69</v>
      </c>
      <c r="C11" s="22">
        <f>SUM(C4:C10)</f>
        <v>30</v>
      </c>
      <c r="D11" s="22">
        <f>SUM(D4:D10)</f>
        <v>16</v>
      </c>
      <c r="E11" s="22">
        <f>SUM(E4:E10)</f>
        <v>23</v>
      </c>
      <c r="F11" s="22">
        <f>SUM(F4:F10)</f>
        <v>134021</v>
      </c>
    </row>
    <row r="33" spans="1:1" ht="15" customHeight="1" x14ac:dyDescent="0.3">
      <c r="A33" s="23" t="s">
        <v>174</v>
      </c>
    </row>
  </sheetData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README</vt:lpstr>
      <vt:lpstr>RetailMart Data Quality Report</vt:lpstr>
      <vt:lpstr>Data Quality Report</vt:lpstr>
      <vt:lpstr>Summary</vt:lpstr>
      <vt:lpstr>'Data Quality Report'!Print_Titles</vt:lpstr>
      <vt:lpstr>'RetailMart Data Quality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Kajal Ubale</cp:lastModifiedBy>
  <cp:revision>3</cp:revision>
  <dcterms:created xsi:type="dcterms:W3CDTF">2026-08-29T14:02:40Z</dcterms:created>
  <dcterms:modified xsi:type="dcterms:W3CDTF">2026-08-29T14:08:45Z</dcterms:modified>
  <dc:language>en-US</dc:language>
</cp:coreProperties>
</file>